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ll\source\repos\bobPlan\.worktrees\management-planning\management-planning\samples\normal\"/>
    </mc:Choice>
  </mc:AlternateContent>
  <xr:revisionPtr revIDLastSave="0" documentId="8_{0AF6712A-9BE3-4EC9-A191-F44D222F1D17}" xr6:coauthVersionLast="47" xr6:coauthVersionMax="47" xr10:uidLastSave="{00000000-0000-0000-0000-000000000000}"/>
  <bookViews>
    <workbookView xWindow="225" yWindow="2010" windowWidth="28575" windowHeight="14190" xr2:uid="{00000000-000D-0000-FFFF-FFFF00000000}"/>
  </bookViews>
  <sheets>
    <sheet name="案件条件" sheetId="1" r:id="rId1"/>
    <sheet name="入力資料" sheetId="2" r:id="rId2"/>
    <sheet name="見積基準" sheetId="3" r:id="rId3"/>
    <sheet name="要求台帳" sheetId="4" r:id="rId4"/>
    <sheet name="要員" sheetId="5" r:id="rId5"/>
    <sheet name="日別稼働" sheetId="6" r:id="rId6"/>
    <sheet name="作業台帳" sheetId="7" r:id="rId7"/>
    <sheet name="日別配分" sheetId="8" r:id="rId8"/>
    <sheet name="確認事項" sheetId="9" r:id="rId9"/>
    <sheet name="見積表" sheetId="10" r:id="rId10"/>
    <sheet name="WBS" sheetId="11" r:id="rId11"/>
    <sheet name="要員スケジュール" sheetId="12" r:id="rId12"/>
    <sheet name="Redmine転記" sheetId="13" r:id="rId13"/>
    <sheet name="点検結果" sheetId="14" r:id="rId1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2" l="1"/>
  <c r="E12" i="12"/>
  <c r="E11" i="12"/>
  <c r="E10" i="12"/>
  <c r="E9" i="12"/>
  <c r="E8" i="12"/>
  <c r="E7" i="12"/>
  <c r="E6" i="12"/>
  <c r="E5" i="12"/>
  <c r="D13" i="10"/>
  <c r="F13" i="11" s="1"/>
  <c r="D12" i="10"/>
  <c r="F12" i="11" s="1"/>
  <c r="D11" i="10"/>
  <c r="F11" i="11" s="1"/>
  <c r="D10" i="10"/>
  <c r="F10" i="11" s="1"/>
  <c r="D9" i="10"/>
  <c r="F9" i="11" s="1"/>
  <c r="D8" i="10"/>
  <c r="F8" i="11" s="1"/>
  <c r="D7" i="10"/>
  <c r="F7" i="11" s="1"/>
  <c r="F6" i="11"/>
  <c r="D6" i="10"/>
  <c r="D5" i="10" l="1"/>
  <c r="F5" i="11" s="1"/>
</calcChain>
</file>

<file path=xl/sharedStrings.xml><?xml version="1.0" encoding="utf-8"?>
<sst xmlns="http://schemas.openxmlformats.org/spreadsheetml/2006/main" count="560" uniqueCount="203">
  <si>
    <t>案件条件</t>
  </si>
  <si>
    <t>案件の範囲・期間と工数換算の条件を記入します。</t>
  </si>
  <si>
    <t>項目例: ProjectID、Scope、StartDate、DueDate、HoursPerDay、Synthetic</t>
  </si>
  <si>
    <t>項目</t>
  </si>
  <si>
    <t>設定値</t>
  </si>
  <si>
    <t>説明</t>
  </si>
  <si>
    <t>入力資料</t>
  </si>
  <si>
    <t>要求の根拠となる資料を登録します。</t>
  </si>
  <si>
    <t>Excel は対象シートと範囲を指定します。資料IDは重複させません。</t>
  </si>
  <si>
    <t>資料ID</t>
  </si>
  <si>
    <t>資料パス</t>
  </si>
  <si>
    <t>形式</t>
  </si>
  <si>
    <t>シート</t>
  </si>
  <si>
    <t>範囲</t>
  </si>
  <si>
    <t>見積基準</t>
  </si>
  <si>
    <t>工程別の単位工数と、その根拠を記入します。</t>
  </si>
  <si>
    <t>工数の単位は人時です。暫定の基準は Provisional を Yes にします。</t>
  </si>
  <si>
    <t>基準ID</t>
  </si>
  <si>
    <t>工程</t>
  </si>
  <si>
    <t>単位工数（人時）</t>
  </si>
  <si>
    <t>根拠</t>
  </si>
  <si>
    <t>暫定</t>
  </si>
  <si>
    <t>要求台帳</t>
  </si>
  <si>
    <t>資料の出典位置、要求の解釈、受入条件を記入します。</t>
  </si>
  <si>
    <t>未確認の内容は確認事項に記録し、要求IDで結び付けます。</t>
  </si>
  <si>
    <t>要求ID</t>
  </si>
  <si>
    <t>出典位置</t>
  </si>
  <si>
    <t>要求の解釈</t>
  </si>
  <si>
    <t>受入条件</t>
  </si>
  <si>
    <t>確認状況</t>
  </si>
  <si>
    <t>要員</t>
  </si>
  <si>
    <t>要員ごとの担当可能工程とスキルを記入します。</t>
  </si>
  <si>
    <t>複数の工程・スキルは半角セミコロン（;）で区切ります。</t>
  </si>
  <si>
    <t>要員ID</t>
  </si>
  <si>
    <t>表示名</t>
  </si>
  <si>
    <t>担当可能工程</t>
  </si>
  <si>
    <t>スキル</t>
  </si>
  <si>
    <t>日別稼働</t>
  </si>
  <si>
    <t>要員・日付ごとの利用可能時間を人時で記入します。</t>
  </si>
  <si>
    <t>稼働できない日は 0、未確認の日は空欄にします。未登録日は未確認です。</t>
  </si>
  <si>
    <t>日付</t>
  </si>
  <si>
    <t>利用可能時間</t>
  </si>
  <si>
    <t>作業台帳</t>
  </si>
  <si>
    <t>要求を作業に分解し、成果物・完了条件・見積根拠を記入します。</t>
  </si>
  <si>
    <t>末端作業に担当者を1名設定します。親作業の工数・担当者は空欄にします。</t>
  </si>
  <si>
    <t>作業ID</t>
  </si>
  <si>
    <t>親作業ID</t>
  </si>
  <si>
    <t>要求ID一覧</t>
  </si>
  <si>
    <t>作業名</t>
  </si>
  <si>
    <t>成果物</t>
  </si>
  <si>
    <t>完了条件</t>
  </si>
  <si>
    <t>見積工数（人時）</t>
  </si>
  <si>
    <t>見積根拠</t>
  </si>
  <si>
    <t>担当要員ID</t>
  </si>
  <si>
    <t>開始日</t>
  </si>
  <si>
    <t>終了日</t>
  </si>
  <si>
    <t>先行作業ID一覧</t>
  </si>
  <si>
    <t>日別配分</t>
  </si>
  <si>
    <t>末端作業の日別配分を人時で記入します。</t>
  </si>
  <si>
    <t>作業ごとの配分合計を見積工数に合わせます。日付は yyyy-mm-dd です。</t>
  </si>
  <si>
    <t>配分時間</t>
  </si>
  <si>
    <t>確認事項</t>
  </si>
  <si>
    <t>要求・作業の不明点と、確認後の対応内容を記入します。</t>
  </si>
  <si>
    <t>未解決事項は残して管理し、推測で確定値を埋めません。</t>
  </si>
  <si>
    <t>確認ID</t>
  </si>
  <si>
    <t>要求・作業ID</t>
  </si>
  <si>
    <t>確認内容</t>
  </si>
  <si>
    <t>状態</t>
  </si>
  <si>
    <t>対応内容</t>
  </si>
  <si>
    <t>見積表</t>
  </si>
  <si>
    <t>作業台帳から作成する見積の一覧です。</t>
  </si>
  <si>
    <t>親作業は末端作業を集計します。未確定の工数を含む合計は空欄です。</t>
  </si>
  <si>
    <t>工数（人時）</t>
  </si>
  <si>
    <t>集計行</t>
  </si>
  <si>
    <t>WBS</t>
  </si>
  <si>
    <t>要求、作業の階層、成果物、担当者と日程を確認します。</t>
  </si>
  <si>
    <t>作業台帳を更新してから再出力します。親作業の日程は末端作業から集計します。</t>
  </si>
  <si>
    <t>要員スケジュール</t>
  </si>
  <si>
    <t>日別の作業配分と担当者の利用可能時間を確認します。</t>
  </si>
  <si>
    <t>利用可能時間が空欄の日は未確認です。過配分は点検結果で確認します。</t>
  </si>
  <si>
    <t>担当者の日計</t>
  </si>
  <si>
    <t>Redmine転記</t>
  </si>
  <si>
    <t>Redmine に転記する内容の確認用一覧です。</t>
  </si>
  <si>
    <t>作業ID・親作業IDは内部IDです。転記前に点検結果と確認事項を確認します。</t>
  </si>
  <si>
    <t>内部作業ID</t>
  </si>
  <si>
    <t>内部親作業ID</t>
  </si>
  <si>
    <t>件名</t>
  </si>
  <si>
    <t>説明・完了条件</t>
  </si>
  <si>
    <t>予定工数（人時）</t>
  </si>
  <si>
    <t>期日</t>
  </si>
  <si>
    <t>点検結果</t>
  </si>
  <si>
    <t>入力の不足、参照の不整合、日程と配分の問題を確認します。</t>
  </si>
  <si>
    <t>Error は修正対象、Warning は未確認・要確認です。再点検して結果を更新します。</t>
  </si>
  <si>
    <t>重要度</t>
  </si>
  <si>
    <t>検出内容</t>
  </si>
  <si>
    <t>対象</t>
  </si>
  <si>
    <t>ProjectID</t>
  </si>
  <si>
    <t>Scope</t>
  </si>
  <si>
    <t>StartDate</t>
  </si>
  <si>
    <t>DueDate</t>
  </si>
  <si>
    <t>HoursPerDay</t>
  </si>
  <si>
    <t>Synthetic</t>
  </si>
  <si>
    <t>SYNTHETIC-001</t>
  </si>
  <si>
    <t>Customer-AのWarning判定変更</t>
  </si>
  <si>
    <t>2026-09-07</t>
  </si>
  <si>
    <t>2026-09-25</t>
  </si>
  <si>
    <t>8</t>
  </si>
  <si>
    <t>Yes</t>
  </si>
  <si>
    <t>合成データによる操作試行</t>
  </si>
  <si>
    <t>実機への接続・実装作業は行わない</t>
  </si>
  <si>
    <t>計画開始可能日</t>
  </si>
  <si>
    <t>計画納期</t>
  </si>
  <si>
    <t>人日表示時の換算条件</t>
  </si>
  <si>
    <t>工数・要員・日程は検証用の架空値</t>
  </si>
  <si>
    <t>DOC-001</t>
  </si>
  <si>
    <t>QA-001</t>
  </si>
  <si>
    <t>../../../demo/inputs/requirements-demo.docx</t>
  </si>
  <si>
    <t>../../../demo/inputs/qa-demo.xlsx</t>
  </si>
  <si>
    <t>DOCX</t>
  </si>
  <si>
    <t>XLSX</t>
  </si>
  <si>
    <t/>
  </si>
  <si>
    <t>QA</t>
  </si>
  <si>
    <t>A1:B6</t>
  </si>
  <si>
    <t>STD-01</t>
  </si>
  <si>
    <t>STD-02</t>
  </si>
  <si>
    <t>STD-03</t>
  </si>
  <si>
    <t>設計</t>
  </si>
  <si>
    <t>実装</t>
  </si>
  <si>
    <t>試験</t>
  </si>
  <si>
    <t>合成の参照工数。実績値ではない。</t>
  </si>
  <si>
    <t>合成の参照工数。実案件への転用不可。</t>
  </si>
  <si>
    <t>REQ-001</t>
  </si>
  <si>
    <t>REQ-002</t>
  </si>
  <si>
    <t>REQ-003</t>
  </si>
  <si>
    <t>paragraph:3</t>
  </si>
  <si>
    <t>paragraph:4</t>
  </si>
  <si>
    <t>paragraph:5</t>
  </si>
  <si>
    <t>warm-up中のWarning抑止と連続超過回数リセット</t>
  </si>
  <si>
    <t>8,000μs以上が3周期連続した場合にWarningへ遷移</t>
  </si>
  <si>
    <t>8,000μs未満で直ちにNormalへ戻し回数をリセット</t>
  </si>
  <si>
    <t>warm-up中はWarningにならず回数がリセットされる</t>
  </si>
  <si>
    <t>8,000を含み3周期で遷移する</t>
  </si>
  <si>
    <t>7,999でNormalとなり回数が0になる</t>
  </si>
  <si>
    <t>Resolved</t>
  </si>
  <si>
    <t>001</t>
  </si>
  <si>
    <t>002</t>
  </si>
  <si>
    <t>003</t>
  </si>
  <si>
    <t>合成要員A</t>
  </si>
  <si>
    <t>合成要員B</t>
  </si>
  <si>
    <t>合成要員C</t>
  </si>
  <si>
    <t>調査;設計;実装</t>
  </si>
  <si>
    <t>レビュー;試験</t>
  </si>
  <si>
    <t>試験;リリース</t>
  </si>
  <si>
    <t>VC6;既存コード</t>
  </si>
  <si>
    <t>設計レビュー;試験設計</t>
  </si>
  <si>
    <t>回帰試験;手順書</t>
  </si>
  <si>
    <t>P-001</t>
  </si>
  <si>
    <t>T-001</t>
  </si>
  <si>
    <t>T-002</t>
  </si>
  <si>
    <t>T-003</t>
  </si>
  <si>
    <t>T-004</t>
  </si>
  <si>
    <t>T-005</t>
  </si>
  <si>
    <t>T-006</t>
  </si>
  <si>
    <t>T-007</t>
  </si>
  <si>
    <t>T-008</t>
  </si>
  <si>
    <t>REQ-001;REQ-002;REQ-003</t>
  </si>
  <si>
    <t>Warning判定変更</t>
  </si>
  <si>
    <t>要求・QAの整理</t>
  </si>
  <si>
    <t>変更設計</t>
  </si>
  <si>
    <t>設計レビュー</t>
  </si>
  <si>
    <t>判定ロジックの実装</t>
  </si>
  <si>
    <t>コードレビュー</t>
  </si>
  <si>
    <t>境界値試験</t>
  </si>
  <si>
    <t>回帰試験</t>
  </si>
  <si>
    <t>リリース手順と管理資料整理</t>
  </si>
  <si>
    <t>調査</t>
  </si>
  <si>
    <t>レビュー</t>
  </si>
  <si>
    <t>リリース</t>
  </si>
  <si>
    <t>要求整理表</t>
  </si>
  <si>
    <t>変更設計書</t>
  </si>
  <si>
    <t>レビュー記録</t>
  </si>
  <si>
    <t>変更コード</t>
  </si>
  <si>
    <t>コードレビュー記録</t>
  </si>
  <si>
    <t>境界値試験記録</t>
  </si>
  <si>
    <t>回帰試験記録</t>
  </si>
  <si>
    <t>手順書</t>
  </si>
  <si>
    <t>対象要求との対応を確認し記録を残す</t>
  </si>
  <si>
    <t>合成参照値。生産性・実績を表さない。</t>
  </si>
  <si>
    <t>Draft</t>
  </si>
  <si>
    <t>No</t>
  </si>
  <si>
    <t xml:space="preserve">Requirements: REQ-001;REQ-002;REQ-003_x000D_
Deliverable: _x000D_
Acceptance: _x000D_
Estimate basis: _x000D_
Internal predecessor task IDs: </t>
  </si>
  <si>
    <t xml:space="preserve">Requirements: REQ-001;REQ-002;REQ-003_x000D_
Deliverable: 要求整理表_x000D_
Acceptance: 対象要求との対応を確認し記録を残す_x000D_
Estimate basis: 合成参照値。生産性・実績を表さない。_x000D_
Internal predecessor task IDs: </t>
  </si>
  <si>
    <t>Requirements: REQ-001;REQ-002;REQ-003_x000D_
Deliverable: 変更設計書_x000D_
Acceptance: 対象要求との対応を確認し記録を残す_x000D_
Estimate basis: 合成参照値。生産性・実績を表さない。_x000D_
Internal predecessor task IDs: T-001</t>
  </si>
  <si>
    <t>Requirements: REQ-001;REQ-002;REQ-003_x000D_
Deliverable: レビュー記録_x000D_
Acceptance: 対象要求との対応を確認し記録を残す_x000D_
Estimate basis: 合成参照値。生産性・実績を表さない。_x000D_
Internal predecessor task IDs: T-002</t>
  </si>
  <si>
    <t>Requirements: REQ-001;REQ-002;REQ-003_x000D_
Deliverable: 変更コード_x000D_
Acceptance: 対象要求との対応を確認し記録を残す_x000D_
Estimate basis: 合成参照値。生産性・実績を表さない。_x000D_
Internal predecessor task IDs: T-003</t>
  </si>
  <si>
    <t>Requirements: REQ-001;REQ-002;REQ-003_x000D_
Deliverable: コードレビュー記録_x000D_
Acceptance: 対象要求との対応を確認し記録を残す_x000D_
Estimate basis: 合成参照値。生産性・実績を表さない。_x000D_
Internal predecessor task IDs: T-004</t>
  </si>
  <si>
    <t>Requirements: REQ-001;REQ-002;REQ-003_x000D_
Deliverable: 境界値試験記録_x000D_
Acceptance: 対象要求との対応を確認し記録を残す_x000D_
Estimate basis: 合成参照値。生産性・実績を表さない。_x000D_
Internal predecessor task IDs: T-005</t>
  </si>
  <si>
    <t>Requirements: REQ-001;REQ-002;REQ-003_x000D_
Deliverable: 回帰試験記録_x000D_
Acceptance: 対象要求との対応を確認し記録を残す_x000D_
Estimate basis: 合成参照値。生産性・実績を表さない。_x000D_
Internal predecessor task IDs: T-006</t>
  </si>
  <si>
    <t>Requirements: REQ-001;REQ-002;REQ-003_x000D_
Deliverable: 手順書_x000D_
Acceptance: 対象要求との対応を確認し記録を残す_x000D_
Estimate basis: 合成参照値。生産性・実績を表さない。_x000D_
Internal predecessor task IDs: T-007</t>
  </si>
  <si>
    <t>Info</t>
  </si>
  <si>
    <t>PROVISIONAL_STANDARD</t>
  </si>
  <si>
    <t>Provisional</t>
  </si>
  <si>
    <t>Reference hours are provisional; synthetic hours are not production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</si>
</sst>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######"/>
    <numFmt numFmtId="177" formatCode="yyyy\-mm\-dd"/>
  </numFmts>
  <fonts count="7">
    <font>
      <sz val="11"/>
      <name val="Carlito"/>
    </font>
    <font>
      <sz val="11"/>
      <color rgb="FF25334A"/>
      <name val="Arial"/>
      <family val="2"/>
    </font>
    <font>
      <b/>
      <sz val="17"/>
      <color rgb="FF203653"/>
      <name val="Arial"/>
      <family val="2"/>
    </font>
    <font>
      <sz val="10"/>
      <color rgb="FF596579"/>
      <name val="Arial"/>
      <family val="2"/>
    </font>
    <font>
      <b/>
      <sz val="11"/>
      <color rgb="FFFFFFFF"/>
      <name val="Arial"/>
      <family val="2"/>
    </font>
    <font>
      <sz val="11"/>
      <name val="Carlito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203653"/>
      </patternFill>
    </fill>
    <fill>
      <patternFill patternType="solid">
        <fgColor rgb="FFFFF6DE"/>
      </patternFill>
    </fill>
    <fill>
      <patternFill patternType="solid">
        <fgColor rgb="FFEFF3F8"/>
      </patternFill>
    </fill>
  </fills>
  <borders count="5">
    <border>
      <left/>
      <right/>
      <top/>
      <bottom/>
      <diagonal/>
    </border>
    <border>
      <left/>
      <right/>
      <top/>
      <bottom style="thin">
        <color rgb="FFA5B0BE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1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1" fillId="0" borderId="1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49" fontId="1" fillId="3" borderId="0" xfId="1" applyNumberFormat="1" applyFont="1" applyFill="1" applyAlignment="1">
      <alignment horizontal="left" vertical="center" wrapText="1"/>
    </xf>
    <xf numFmtId="49" fontId="1" fillId="3" borderId="0" xfId="1" applyNumberFormat="1" applyFont="1" applyFill="1" applyAlignment="1">
      <alignment horizontal="left" vertical="top" wrapText="1"/>
    </xf>
    <xf numFmtId="49" fontId="1" fillId="0" borderId="0" xfId="1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176" fontId="1" fillId="3" borderId="0" xfId="1" applyNumberFormat="1" applyFont="1" applyFill="1" applyAlignment="1">
      <alignment horizontal="right" vertical="top" wrapText="1"/>
    </xf>
    <xf numFmtId="176" fontId="1" fillId="0" borderId="0" xfId="1" applyNumberFormat="1" applyFont="1" applyAlignment="1">
      <alignment vertical="top" wrapText="1"/>
    </xf>
    <xf numFmtId="177" fontId="1" fillId="3" borderId="0" xfId="1" applyNumberFormat="1" applyFont="1" applyFill="1" applyAlignment="1">
      <alignment horizontal="left" vertical="top" wrapText="1"/>
    </xf>
    <xf numFmtId="177" fontId="1" fillId="0" borderId="0" xfId="1" applyNumberFormat="1" applyFont="1" applyAlignment="1">
      <alignment vertical="top" wrapText="1"/>
    </xf>
    <xf numFmtId="177" fontId="0" fillId="0" borderId="0" xfId="0" applyNumberFormat="1" applyAlignment="1">
      <alignment vertical="top" wrapText="1"/>
    </xf>
    <xf numFmtId="176" fontId="0" fillId="0" borderId="0" xfId="0" applyNumberFormat="1" applyAlignment="1">
      <alignment vertical="top" wrapText="1"/>
    </xf>
    <xf numFmtId="49" fontId="1" fillId="4" borderId="0" xfId="1" applyNumberFormat="1" applyFont="1" applyFill="1" applyAlignment="1">
      <alignment horizontal="left" vertical="top" wrapText="1"/>
    </xf>
    <xf numFmtId="176" fontId="1" fillId="4" borderId="0" xfId="1" applyNumberFormat="1" applyFont="1" applyFill="1" applyAlignment="1">
      <alignment horizontal="right" vertical="top" wrapText="1"/>
    </xf>
    <xf numFmtId="177" fontId="1" fillId="4" borderId="0" xfId="1" applyNumberFormat="1" applyFont="1" applyFill="1" applyAlignment="1">
      <alignment horizontal="left" vertical="top" wrapText="1"/>
    </xf>
  </cellXfs>
  <cellStyles count="2">
    <cellStyle name="Normal" xfId="1" xr:uid="{00000000-0005-0000-0000-000000000000}"/>
    <cellStyle name="標準" xfId="0" builtinId="0"/>
  </cellStyles>
  <dxfs count="98">
    <dxf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177" formatCode="yyyy\-mm\-dd"/>
      <alignment vertical="top" textRotation="0" wrapText="1" indent="0" justifyLastLine="0" shrinkToFit="0" readingOrder="0"/>
    </dxf>
    <dxf>
      <numFmt numFmtId="177" formatCode="yyyy\-mm\-dd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176" formatCode="#,##0.######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numFmt numFmtId="176" formatCode="#,##0.######"/>
      <alignment vertical="top" textRotation="0" wrapText="1" indent="0" justifyLastLine="0" shrinkToFit="0" readingOrder="0"/>
    </dxf>
    <dxf>
      <numFmt numFmtId="176" formatCode="#,##0.######"/>
      <alignment vertical="top" textRotation="0" wrapText="1" indent="0" justifyLastLine="0" shrinkToFit="0" readingOrder="0"/>
    </dxf>
    <dxf>
      <numFmt numFmtId="176" formatCode="#,##0.######"/>
      <alignment vertical="top" textRotation="0" wrapText="1" indent="0" justifyLastLine="0" shrinkToFit="0" readingOrder="0"/>
    </dxf>
    <dxf>
      <numFmt numFmtId="177" formatCode="yyyy\-mm\-dd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177" formatCode="yyyy\-mm\-dd"/>
      <alignment vertical="top" textRotation="0" wrapText="1" indent="0" justifyLastLine="0" shrinkToFit="0" readingOrder="0"/>
    </dxf>
    <dxf>
      <numFmt numFmtId="177" formatCode="yyyy\-mm\-dd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176" formatCode="#,##0.######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176" formatCode="#,##0.######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numFmt numFmtId="176" formatCode="#,##0.######"/>
      <alignment vertical="top" textRotation="0" wrapText="1" indent="0" justifyLastLine="0" shrinkToFit="0" readingOrder="0"/>
    </dxf>
    <dxf>
      <numFmt numFmtId="177" formatCode="yyyy\-mm\-dd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177" formatCode="yyyy\-mm\-dd"/>
      <alignment vertical="top" textRotation="0" wrapText="1" indent="0" justifyLastLine="0" shrinkToFit="0" readingOrder="0"/>
    </dxf>
    <dxf>
      <numFmt numFmtId="177" formatCode="yyyy\-mm\-dd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176" formatCode="#,##0.######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numFmt numFmtId="176" formatCode="#,##0.######"/>
      <alignment vertical="top" textRotation="0" wrapText="1" indent="0" justifyLastLine="0" shrinkToFit="0" readingOrder="0"/>
    </dxf>
    <dxf>
      <numFmt numFmtId="177" formatCode="yyyy\-mm\-dd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176" formatCode="#,##0.######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  <dxf>
      <numFmt numFmtId="30" formatCode="@"/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p_Project" displayName="mp_Project" ref="A4:C10" totalsRowShown="0" dataDxfId="94">
  <autoFilter ref="A4:C10" xr:uid="{00000000-0009-0000-0100-000001000000}"/>
  <tableColumns count="3">
    <tableColumn id="1" xr3:uid="{00000000-0010-0000-0000-000001000000}" name="項目" dataDxfId="97"/>
    <tableColumn id="2" xr3:uid="{00000000-0010-0000-0000-000002000000}" name="設定値" dataDxfId="96"/>
    <tableColumn id="3" xr3:uid="{00000000-0010-0000-0000-000003000000}" name="説明" dataDxfId="9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p_Sources" displayName="mp_Sources" ref="A4:E6" totalsRowShown="0" dataDxfId="88">
  <autoFilter ref="A4:E6" xr:uid="{00000000-0009-0000-0100-000002000000}"/>
  <tableColumns count="5">
    <tableColumn id="1" xr3:uid="{00000000-0010-0000-0100-000001000000}" name="資料ID" dataDxfId="93"/>
    <tableColumn id="2" xr3:uid="{00000000-0010-0000-0100-000002000000}" name="資料パス" dataDxfId="92"/>
    <tableColumn id="3" xr3:uid="{00000000-0010-0000-0100-000003000000}" name="形式" dataDxfId="91"/>
    <tableColumn id="4" xr3:uid="{00000000-0010-0000-0100-000004000000}" name="シート" dataDxfId="90"/>
    <tableColumn id="5" xr3:uid="{00000000-0010-0000-0100-000005000000}" name="範囲" dataDxfId="8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p_Standards" displayName="mp_Standards" ref="A4:E7" totalsRowShown="0" dataDxfId="82">
  <autoFilter ref="A4:E7" xr:uid="{00000000-0009-0000-0100-000003000000}"/>
  <tableColumns count="5">
    <tableColumn id="1" xr3:uid="{00000000-0010-0000-0200-000001000000}" name="基準ID" dataDxfId="87"/>
    <tableColumn id="2" xr3:uid="{00000000-0010-0000-0200-000002000000}" name="工程" dataDxfId="86"/>
    <tableColumn id="3" xr3:uid="{00000000-0010-0000-0200-000003000000}" name="単位工数（人時）" dataDxfId="85"/>
    <tableColumn id="4" xr3:uid="{00000000-0010-0000-0200-000004000000}" name="根拠" dataDxfId="84"/>
    <tableColumn id="5" xr3:uid="{00000000-0010-0000-0200-000005000000}" name="暫定" dataDxfId="8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p_Requirements" displayName="mp_Requirements" ref="A4:F7" totalsRowShown="0" dataDxfId="75">
  <autoFilter ref="A4:F7" xr:uid="{00000000-0009-0000-0100-000004000000}"/>
  <tableColumns count="6">
    <tableColumn id="1" xr3:uid="{00000000-0010-0000-0300-000001000000}" name="要求ID" dataDxfId="81"/>
    <tableColumn id="2" xr3:uid="{00000000-0010-0000-0300-000002000000}" name="資料ID" dataDxfId="80"/>
    <tableColumn id="3" xr3:uid="{00000000-0010-0000-0300-000003000000}" name="出典位置" dataDxfId="79"/>
    <tableColumn id="4" xr3:uid="{00000000-0010-0000-0300-000004000000}" name="要求の解釈" dataDxfId="78"/>
    <tableColumn id="5" xr3:uid="{00000000-0010-0000-0300-000005000000}" name="受入条件" dataDxfId="77"/>
    <tableColumn id="6" xr3:uid="{00000000-0010-0000-0300-000006000000}" name="確認状況" dataDxfId="7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p_People" displayName="mp_People" ref="A4:D7" totalsRowShown="0" dataDxfId="70">
  <autoFilter ref="A4:D7" xr:uid="{00000000-0009-0000-0100-000005000000}"/>
  <tableColumns count="4">
    <tableColumn id="1" xr3:uid="{00000000-0010-0000-0400-000001000000}" name="要員ID" dataDxfId="74"/>
    <tableColumn id="2" xr3:uid="{00000000-0010-0000-0400-000002000000}" name="表示名" dataDxfId="73"/>
    <tableColumn id="3" xr3:uid="{00000000-0010-0000-0400-000003000000}" name="担当可能工程" dataDxfId="72"/>
    <tableColumn id="4" xr3:uid="{00000000-0010-0000-0400-000004000000}" name="スキル" dataDxfId="7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p_Capacity" displayName="mp_Capacity" ref="A4:C61" totalsRowShown="0" dataDxfId="66">
  <autoFilter ref="A4:C61" xr:uid="{00000000-0009-0000-0100-000006000000}"/>
  <tableColumns count="3">
    <tableColumn id="1" xr3:uid="{00000000-0010-0000-0500-000001000000}" name="要員ID" dataDxfId="69"/>
    <tableColumn id="2" xr3:uid="{00000000-0010-0000-0500-000002000000}" name="日付" dataDxfId="68"/>
    <tableColumn id="3" xr3:uid="{00000000-0010-0000-0500-000003000000}" name="利用可能時間" dataDxfId="6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p_Tasks" displayName="mp_Tasks" ref="A4:N13" totalsRowShown="0" dataDxfId="51">
  <autoFilter ref="A4:N13" xr:uid="{00000000-0009-0000-0100-000007000000}"/>
  <tableColumns count="14">
    <tableColumn id="1" xr3:uid="{00000000-0010-0000-0600-000001000000}" name="作業ID" dataDxfId="65"/>
    <tableColumn id="2" xr3:uid="{00000000-0010-0000-0600-000002000000}" name="親作業ID" dataDxfId="64"/>
    <tableColumn id="3" xr3:uid="{00000000-0010-0000-0600-000003000000}" name="要求ID一覧" dataDxfId="63"/>
    <tableColumn id="4" xr3:uid="{00000000-0010-0000-0600-000004000000}" name="作業名" dataDxfId="62"/>
    <tableColumn id="5" xr3:uid="{00000000-0010-0000-0600-000005000000}" name="工程" dataDxfId="61"/>
    <tableColumn id="6" xr3:uid="{00000000-0010-0000-0600-000006000000}" name="成果物" dataDxfId="60"/>
    <tableColumn id="7" xr3:uid="{00000000-0010-0000-0600-000007000000}" name="完了条件" dataDxfId="59"/>
    <tableColumn id="8" xr3:uid="{00000000-0010-0000-0600-000008000000}" name="見積工数（人時）" dataDxfId="58"/>
    <tableColumn id="9" xr3:uid="{00000000-0010-0000-0600-000009000000}" name="見積根拠" dataDxfId="57"/>
    <tableColumn id="10" xr3:uid="{00000000-0010-0000-0600-00000A000000}" name="担当要員ID" dataDxfId="56"/>
    <tableColumn id="11" xr3:uid="{00000000-0010-0000-0600-00000B000000}" name="開始日" dataDxfId="55"/>
    <tableColumn id="12" xr3:uid="{00000000-0010-0000-0600-00000C000000}" name="終了日" dataDxfId="54"/>
    <tableColumn id="13" xr3:uid="{00000000-0010-0000-0600-00000D000000}" name="先行作業ID一覧" dataDxfId="53"/>
    <tableColumn id="14" xr3:uid="{00000000-0010-0000-0600-00000E000000}" name="確認状況" dataDxfId="5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mp_Allocations" displayName="mp_Allocations" ref="A4:C13" totalsRowShown="0" dataDxfId="47">
  <autoFilter ref="A4:C13" xr:uid="{00000000-0009-0000-0100-000008000000}"/>
  <tableColumns count="3">
    <tableColumn id="1" xr3:uid="{00000000-0010-0000-0700-000001000000}" name="作業ID" dataDxfId="50"/>
    <tableColumn id="2" xr3:uid="{00000000-0010-0000-0700-000002000000}" name="日付" dataDxfId="49"/>
    <tableColumn id="3" xr3:uid="{00000000-0010-0000-0700-000003000000}" name="配分時間" dataDxfId="4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mp_Questions" displayName="mp_Questions" ref="A4:E5" totalsRowShown="0" dataDxfId="41">
  <autoFilter ref="A4:E5" xr:uid="{00000000-0009-0000-0100-000009000000}"/>
  <tableColumns count="5">
    <tableColumn id="1" xr3:uid="{00000000-0010-0000-0800-000001000000}" name="確認ID" dataDxfId="46"/>
    <tableColumn id="2" xr3:uid="{00000000-0010-0000-0800-000002000000}" name="要求・作業ID" dataDxfId="45"/>
    <tableColumn id="3" xr3:uid="{00000000-0010-0000-0800-000003000000}" name="確認内容" dataDxfId="44"/>
    <tableColumn id="4" xr3:uid="{00000000-0010-0000-0800-000004000000}" name="状態" dataDxfId="43"/>
    <tableColumn id="5" xr3:uid="{00000000-0010-0000-0800-000005000000}" name="対応内容" dataDxfId="4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mp_EstimateView" displayName="mp_EstimateView" ref="A4:F13" totalsRowShown="0" dataDxfId="34">
  <autoFilter ref="A4:F13" xr:uid="{00000000-0009-0000-0100-00000A000000}"/>
  <tableColumns count="6">
    <tableColumn id="1" xr3:uid="{00000000-0010-0000-0900-000001000000}" name="作業ID" dataDxfId="40"/>
    <tableColumn id="2" xr3:uid="{00000000-0010-0000-0900-000002000000}" name="作業名" dataDxfId="39"/>
    <tableColumn id="3" xr3:uid="{00000000-0010-0000-0900-000003000000}" name="工程" dataDxfId="38"/>
    <tableColumn id="4" xr3:uid="{00000000-0010-0000-0900-000004000000}" name="工数（人時）" dataDxfId="37"/>
    <tableColumn id="5" xr3:uid="{00000000-0010-0000-0900-000005000000}" name="根拠" dataDxfId="36"/>
    <tableColumn id="6" xr3:uid="{00000000-0010-0000-0900-000006000000}" name="集計行" dataDxfId="3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mp_WbsView" displayName="mp_WbsView" ref="A4:J13" totalsRowShown="0" dataDxfId="23">
  <autoFilter ref="A4:J13" xr:uid="{00000000-0009-0000-0100-00000B000000}"/>
  <tableColumns count="10">
    <tableColumn id="1" xr3:uid="{00000000-0010-0000-0A00-000001000000}" name="作業ID" dataDxfId="33"/>
    <tableColumn id="2" xr3:uid="{00000000-0010-0000-0A00-000002000000}" name="親作業ID" dataDxfId="32"/>
    <tableColumn id="3" xr3:uid="{00000000-0010-0000-0A00-000003000000}" name="要求ID一覧" dataDxfId="31"/>
    <tableColumn id="4" xr3:uid="{00000000-0010-0000-0A00-000004000000}" name="作業名" dataDxfId="30"/>
    <tableColumn id="5" xr3:uid="{00000000-0010-0000-0A00-000005000000}" name="成果物" dataDxfId="29"/>
    <tableColumn id="6" xr3:uid="{00000000-0010-0000-0A00-000006000000}" name="工数（人時）" dataDxfId="28"/>
    <tableColumn id="7" xr3:uid="{00000000-0010-0000-0A00-000007000000}" name="担当要員ID" dataDxfId="27"/>
    <tableColumn id="8" xr3:uid="{00000000-0010-0000-0A00-000008000000}" name="開始日" dataDxfId="26"/>
    <tableColumn id="9" xr3:uid="{00000000-0010-0000-0A00-000009000000}" name="終了日" dataDxfId="25"/>
    <tableColumn id="10" xr3:uid="{00000000-0010-0000-0A00-00000A000000}" name="先行作業ID一覧" dataDxfId="2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mp_ScheduleView" displayName="mp_ScheduleView" ref="A4:F13" totalsRowShown="0" dataDxfId="16">
  <autoFilter ref="A4:F13" xr:uid="{00000000-0009-0000-0100-00000C000000}"/>
  <tableColumns count="6">
    <tableColumn id="1" xr3:uid="{00000000-0010-0000-0B00-000001000000}" name="作業ID" dataDxfId="22"/>
    <tableColumn id="2" xr3:uid="{00000000-0010-0000-0B00-000002000000}" name="担当要員ID" dataDxfId="21"/>
    <tableColumn id="3" xr3:uid="{00000000-0010-0000-0B00-000003000000}" name="日付" dataDxfId="20"/>
    <tableColumn id="4" xr3:uid="{00000000-0010-0000-0B00-000004000000}" name="配分時間" dataDxfId="19"/>
    <tableColumn id="5" xr3:uid="{00000000-0010-0000-0B00-000005000000}" name="担当者の日計" dataDxfId="18"/>
    <tableColumn id="6" xr3:uid="{00000000-0010-0000-0B00-000006000000}" name="利用可能時間" dataDxfId="17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mp_RedmineView" displayName="mp_RedmineView" ref="A4:I13" totalsRowShown="0" dataDxfId="6">
  <autoFilter ref="A4:I13" xr:uid="{00000000-0009-0000-0100-00000D000000}"/>
  <tableColumns count="9">
    <tableColumn id="1" xr3:uid="{00000000-0010-0000-0C00-000001000000}" name="内部作業ID" dataDxfId="15"/>
    <tableColumn id="2" xr3:uid="{00000000-0010-0000-0C00-000002000000}" name="内部親作業ID" dataDxfId="14"/>
    <tableColumn id="3" xr3:uid="{00000000-0010-0000-0C00-000003000000}" name="件名" dataDxfId="13"/>
    <tableColumn id="4" xr3:uid="{00000000-0010-0000-0C00-000004000000}" name="説明・完了条件" dataDxfId="12"/>
    <tableColumn id="5" xr3:uid="{00000000-0010-0000-0C00-000005000000}" name="予定工数（人時）" dataDxfId="11"/>
    <tableColumn id="6" xr3:uid="{00000000-0010-0000-0C00-000006000000}" name="担当要員ID" dataDxfId="10"/>
    <tableColumn id="7" xr3:uid="{00000000-0010-0000-0C00-000007000000}" name="開始日" dataDxfId="9"/>
    <tableColumn id="8" xr3:uid="{00000000-0010-0000-0C00-000008000000}" name="期日" dataDxfId="8"/>
    <tableColumn id="9" xr3:uid="{00000000-0010-0000-0C00-000009000000}" name="要求ID一覧" dataDxfId="7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mp_Checks" displayName="mp_Checks" ref="A4:E7" totalsRowShown="0" dataDxfId="0">
  <autoFilter ref="A4:E7" xr:uid="{00000000-0009-0000-0100-00000E000000}"/>
  <tableColumns count="5">
    <tableColumn id="1" xr3:uid="{00000000-0010-0000-0D00-000001000000}" name="重要度" dataDxfId="5"/>
    <tableColumn id="2" xr3:uid="{00000000-0010-0000-0D00-000002000000}" name="検出内容" dataDxfId="4"/>
    <tableColumn id="3" xr3:uid="{00000000-0010-0000-0D00-000003000000}" name="対象" dataDxfId="3"/>
    <tableColumn id="4" xr3:uid="{00000000-0010-0000-0D00-000004000000}" name="項目" dataDxfId="2"/>
    <tableColumn id="5" xr3:uid="{00000000-0010-0000-0D00-000005000000}" name="説明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88934"/>
  </sheetPr>
  <dimension ref="A1:C10"/>
  <sheetViews>
    <sheetView showGridLines="0" tabSelected="1" workbookViewId="0">
      <pane ySplit="4" topLeftCell="A5" activePane="bottomLeft" state="frozen"/>
      <selection pane="bottomLeft"/>
    </sheetView>
  </sheetViews>
  <sheetFormatPr defaultRowHeight="14.25"/>
  <cols>
    <col min="1" max="1" width="25" customWidth="1"/>
    <col min="2" max="2" width="26" customWidth="1"/>
    <col min="3" max="3" width="72" customWidth="1"/>
  </cols>
  <sheetData>
    <row r="1" spans="1:3" ht="33.950000000000003" customHeight="1">
      <c r="A1" s="2" t="s">
        <v>0</v>
      </c>
      <c r="B1" s="3"/>
      <c r="C1" s="3"/>
    </row>
    <row r="2" spans="1:3" ht="26.1" customHeight="1">
      <c r="A2" s="4" t="s">
        <v>1</v>
      </c>
      <c r="B2" s="4"/>
      <c r="C2" s="4"/>
    </row>
    <row r="3" spans="1:3" ht="26.1" customHeight="1">
      <c r="A3" s="4" t="s">
        <v>2</v>
      </c>
      <c r="B3" s="4"/>
      <c r="C3" s="4"/>
    </row>
    <row r="4" spans="1:3" ht="39.950000000000003" customHeight="1">
      <c r="A4" s="5" t="s">
        <v>3</v>
      </c>
      <c r="B4" s="6" t="s">
        <v>4</v>
      </c>
      <c r="C4" s="7" t="s">
        <v>5</v>
      </c>
    </row>
    <row r="5" spans="1:3" ht="26.1" customHeight="1">
      <c r="A5" s="9" t="s">
        <v>96</v>
      </c>
      <c r="B5" s="9" t="s">
        <v>102</v>
      </c>
      <c r="C5" s="9" t="s">
        <v>108</v>
      </c>
    </row>
    <row r="6" spans="1:3" ht="28.5">
      <c r="A6" s="9" t="s">
        <v>97</v>
      </c>
      <c r="B6" s="9" t="s">
        <v>103</v>
      </c>
      <c r="C6" s="9" t="s">
        <v>109</v>
      </c>
    </row>
    <row r="7" spans="1:3" ht="26.1" customHeight="1">
      <c r="A7" s="10" t="s">
        <v>98</v>
      </c>
      <c r="B7" s="10" t="s">
        <v>104</v>
      </c>
      <c r="C7" s="10" t="s">
        <v>110</v>
      </c>
    </row>
    <row r="8" spans="1:3" ht="26.1" customHeight="1">
      <c r="A8" s="11" t="s">
        <v>99</v>
      </c>
      <c r="B8" s="11" t="s">
        <v>105</v>
      </c>
      <c r="C8" s="11" t="s">
        <v>111</v>
      </c>
    </row>
    <row r="9" spans="1:3" ht="26.1" customHeight="1">
      <c r="A9" s="11" t="s">
        <v>100</v>
      </c>
      <c r="B9" s="11" t="s">
        <v>106</v>
      </c>
      <c r="C9" s="11" t="s">
        <v>112</v>
      </c>
    </row>
    <row r="10" spans="1:3" ht="26.1" customHeight="1">
      <c r="A10" s="11" t="s">
        <v>101</v>
      </c>
      <c r="B10" s="11" t="s">
        <v>107</v>
      </c>
      <c r="C10" s="11" t="s">
        <v>113</v>
      </c>
    </row>
  </sheetData>
  <phoneticPr fontId="6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88934"/>
  </sheetPr>
  <dimension ref="A1:E7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1" width="20" customWidth="1"/>
    <col min="2" max="2" width="56" customWidth="1"/>
    <col min="3" max="5" width="20" customWidth="1"/>
  </cols>
  <sheetData>
    <row r="1" spans="1:5" ht="33.950000000000003" customHeight="1">
      <c r="A1" s="2" t="s">
        <v>6</v>
      </c>
      <c r="B1" s="3"/>
      <c r="C1" s="3"/>
      <c r="D1" s="3"/>
      <c r="E1" s="3"/>
    </row>
    <row r="2" spans="1:5" ht="26.1" customHeight="1">
      <c r="A2" s="4" t="s">
        <v>7</v>
      </c>
      <c r="B2" s="4"/>
      <c r="C2" s="4"/>
      <c r="D2" s="4"/>
      <c r="E2" s="4"/>
    </row>
    <row r="3" spans="1:5" ht="26.1" customHeight="1">
      <c r="A3" s="4" t="s">
        <v>8</v>
      </c>
      <c r="B3" s="4"/>
      <c r="C3" s="4"/>
      <c r="D3" s="4"/>
      <c r="E3" s="4"/>
    </row>
    <row r="4" spans="1:5" ht="39.950000000000003" customHeight="1">
      <c r="A4" s="5" t="s">
        <v>9</v>
      </c>
      <c r="B4" s="6" t="s">
        <v>10</v>
      </c>
      <c r="C4" s="6" t="s">
        <v>11</v>
      </c>
      <c r="D4" s="6" t="s">
        <v>12</v>
      </c>
      <c r="E4" s="7" t="s">
        <v>13</v>
      </c>
    </row>
    <row r="5" spans="1:5" ht="26.1" customHeight="1">
      <c r="A5" s="9" t="s">
        <v>114</v>
      </c>
      <c r="B5" s="9" t="s">
        <v>116</v>
      </c>
      <c r="C5" s="9" t="s">
        <v>118</v>
      </c>
      <c r="D5" s="9" t="s">
        <v>120</v>
      </c>
      <c r="E5" s="9" t="s">
        <v>120</v>
      </c>
    </row>
    <row r="6" spans="1:5" ht="26.1" customHeight="1">
      <c r="A6" s="9" t="s">
        <v>115</v>
      </c>
      <c r="B6" s="9" t="s">
        <v>117</v>
      </c>
      <c r="C6" s="9" t="s">
        <v>119</v>
      </c>
      <c r="D6" s="9" t="s">
        <v>121</v>
      </c>
      <c r="E6" s="9" t="s">
        <v>122</v>
      </c>
    </row>
    <row r="7" spans="1:5" ht="26.1" customHeight="1">
      <c r="A7" s="1"/>
      <c r="B7" s="1"/>
      <c r="C7" s="1"/>
      <c r="D7" s="1"/>
      <c r="E7" s="1"/>
    </row>
  </sheetData>
  <phoneticPr fontId="6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88934"/>
  </sheetPr>
  <dimension ref="A1:E7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3" width="20" customWidth="1"/>
    <col min="4" max="4" width="45" customWidth="1"/>
    <col min="5" max="5" width="20" customWidth="1"/>
  </cols>
  <sheetData>
    <row r="1" spans="1:5" ht="33.950000000000003" customHeight="1">
      <c r="A1" s="2" t="s">
        <v>14</v>
      </c>
      <c r="B1" s="3"/>
      <c r="C1" s="3"/>
      <c r="D1" s="3"/>
      <c r="E1" s="3"/>
    </row>
    <row r="2" spans="1:5" ht="26.1" customHeight="1">
      <c r="A2" s="4" t="s">
        <v>15</v>
      </c>
      <c r="B2" s="4"/>
      <c r="C2" s="4"/>
      <c r="D2" s="4"/>
      <c r="E2" s="4"/>
    </row>
    <row r="3" spans="1:5" ht="26.1" customHeight="1">
      <c r="A3" s="4" t="s">
        <v>16</v>
      </c>
      <c r="B3" s="4"/>
      <c r="C3" s="4"/>
      <c r="D3" s="4"/>
      <c r="E3" s="4"/>
    </row>
    <row r="4" spans="1:5" ht="39.950000000000003" customHeight="1">
      <c r="A4" s="5" t="s">
        <v>17</v>
      </c>
      <c r="B4" s="6" t="s">
        <v>18</v>
      </c>
      <c r="C4" s="6" t="s">
        <v>19</v>
      </c>
      <c r="D4" s="6" t="s">
        <v>20</v>
      </c>
      <c r="E4" s="7" t="s">
        <v>21</v>
      </c>
    </row>
    <row r="5" spans="1:5" ht="26.1" customHeight="1">
      <c r="A5" s="9" t="s">
        <v>123</v>
      </c>
      <c r="B5" s="9" t="s">
        <v>126</v>
      </c>
      <c r="C5" s="12">
        <v>4</v>
      </c>
      <c r="D5" s="9" t="s">
        <v>129</v>
      </c>
      <c r="E5" s="9" t="s">
        <v>107</v>
      </c>
    </row>
    <row r="6" spans="1:5" ht="26.1" customHeight="1">
      <c r="A6" s="9" t="s">
        <v>124</v>
      </c>
      <c r="B6" s="9" t="s">
        <v>127</v>
      </c>
      <c r="C6" s="12">
        <v>6</v>
      </c>
      <c r="D6" s="9" t="s">
        <v>130</v>
      </c>
      <c r="E6" s="9" t="s">
        <v>107</v>
      </c>
    </row>
    <row r="7" spans="1:5" ht="26.1" customHeight="1">
      <c r="A7" s="10" t="s">
        <v>125</v>
      </c>
      <c r="B7" s="10" t="s">
        <v>128</v>
      </c>
      <c r="C7" s="13">
        <v>4</v>
      </c>
      <c r="D7" s="10" t="s">
        <v>129</v>
      </c>
      <c r="E7" s="10" t="s">
        <v>107</v>
      </c>
    </row>
  </sheetData>
  <phoneticPr fontId="6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88934"/>
  </sheetPr>
  <dimension ref="A1:F7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2" width="20" customWidth="1"/>
    <col min="3" max="3" width="32" customWidth="1"/>
    <col min="4" max="5" width="48" customWidth="1"/>
    <col min="6" max="6" width="20" customWidth="1"/>
  </cols>
  <sheetData>
    <row r="1" spans="1:6" ht="33.950000000000003" customHeight="1">
      <c r="A1" s="2" t="s">
        <v>22</v>
      </c>
      <c r="B1" s="3"/>
      <c r="C1" s="3"/>
      <c r="D1" s="3"/>
      <c r="E1" s="3"/>
      <c r="F1" s="3"/>
    </row>
    <row r="2" spans="1:6" ht="26.1" customHeight="1">
      <c r="A2" s="4" t="s">
        <v>23</v>
      </c>
      <c r="B2" s="4"/>
      <c r="C2" s="4"/>
      <c r="D2" s="4"/>
      <c r="E2" s="4"/>
      <c r="F2" s="4"/>
    </row>
    <row r="3" spans="1:6" ht="26.1" customHeight="1">
      <c r="A3" s="4" t="s">
        <v>24</v>
      </c>
      <c r="B3" s="4"/>
      <c r="C3" s="4"/>
      <c r="D3" s="4"/>
      <c r="E3" s="4"/>
      <c r="F3" s="4"/>
    </row>
    <row r="4" spans="1:6" ht="39.950000000000003" customHeight="1">
      <c r="A4" s="5" t="s">
        <v>25</v>
      </c>
      <c r="B4" s="6" t="s">
        <v>9</v>
      </c>
      <c r="C4" s="6" t="s">
        <v>26</v>
      </c>
      <c r="D4" s="6" t="s">
        <v>27</v>
      </c>
      <c r="E4" s="6" t="s">
        <v>28</v>
      </c>
      <c r="F4" s="7" t="s">
        <v>29</v>
      </c>
    </row>
    <row r="5" spans="1:6" ht="26.1" customHeight="1">
      <c r="A5" s="9" t="s">
        <v>131</v>
      </c>
      <c r="B5" s="9" t="s">
        <v>114</v>
      </c>
      <c r="C5" s="9" t="s">
        <v>134</v>
      </c>
      <c r="D5" s="9" t="s">
        <v>137</v>
      </c>
      <c r="E5" s="9" t="s">
        <v>140</v>
      </c>
      <c r="F5" s="9" t="s">
        <v>143</v>
      </c>
    </row>
    <row r="6" spans="1:6" ht="26.1" customHeight="1">
      <c r="A6" s="9" t="s">
        <v>132</v>
      </c>
      <c r="B6" s="9" t="s">
        <v>114</v>
      </c>
      <c r="C6" s="9" t="s">
        <v>135</v>
      </c>
      <c r="D6" s="9" t="s">
        <v>138</v>
      </c>
      <c r="E6" s="9" t="s">
        <v>141</v>
      </c>
      <c r="F6" s="9" t="s">
        <v>143</v>
      </c>
    </row>
    <row r="7" spans="1:6" ht="26.1" customHeight="1">
      <c r="A7" s="10" t="s">
        <v>133</v>
      </c>
      <c r="B7" s="10" t="s">
        <v>114</v>
      </c>
      <c r="C7" s="10" t="s">
        <v>136</v>
      </c>
      <c r="D7" s="10" t="s">
        <v>139</v>
      </c>
      <c r="E7" s="10" t="s">
        <v>142</v>
      </c>
      <c r="F7" s="10" t="s">
        <v>143</v>
      </c>
    </row>
  </sheetData>
  <phoneticPr fontId="6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88934"/>
  </sheetPr>
  <dimension ref="A1:D7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1" width="20" customWidth="1"/>
    <col min="2" max="2" width="28" customWidth="1"/>
    <col min="3" max="3" width="32" customWidth="1"/>
    <col min="4" max="4" width="36" customWidth="1"/>
  </cols>
  <sheetData>
    <row r="1" spans="1:4" ht="33.950000000000003" customHeight="1">
      <c r="A1" s="2" t="s">
        <v>30</v>
      </c>
      <c r="B1" s="3"/>
      <c r="C1" s="3"/>
      <c r="D1" s="3"/>
    </row>
    <row r="2" spans="1:4" ht="26.1" customHeight="1">
      <c r="A2" s="4" t="s">
        <v>31</v>
      </c>
      <c r="B2" s="4"/>
      <c r="C2" s="4"/>
      <c r="D2" s="4"/>
    </row>
    <row r="3" spans="1:4" ht="26.1" customHeight="1">
      <c r="A3" s="4" t="s">
        <v>32</v>
      </c>
      <c r="B3" s="4"/>
      <c r="C3" s="4"/>
      <c r="D3" s="4"/>
    </row>
    <row r="4" spans="1:4" ht="39.950000000000003" customHeight="1">
      <c r="A4" s="5" t="s">
        <v>33</v>
      </c>
      <c r="B4" s="6" t="s">
        <v>34</v>
      </c>
      <c r="C4" s="6" t="s">
        <v>35</v>
      </c>
      <c r="D4" s="7" t="s">
        <v>36</v>
      </c>
    </row>
    <row r="5" spans="1:4" ht="26.1" customHeight="1">
      <c r="A5" s="9" t="s">
        <v>144</v>
      </c>
      <c r="B5" s="9" t="s">
        <v>147</v>
      </c>
      <c r="C5" s="9" t="s">
        <v>150</v>
      </c>
      <c r="D5" s="9" t="s">
        <v>153</v>
      </c>
    </row>
    <row r="6" spans="1:4" ht="26.1" customHeight="1">
      <c r="A6" s="9" t="s">
        <v>145</v>
      </c>
      <c r="B6" s="9" t="s">
        <v>148</v>
      </c>
      <c r="C6" s="9" t="s">
        <v>151</v>
      </c>
      <c r="D6" s="9" t="s">
        <v>154</v>
      </c>
    </row>
    <row r="7" spans="1:4" ht="26.1" customHeight="1">
      <c r="A7" s="10" t="s">
        <v>146</v>
      </c>
      <c r="B7" s="10" t="s">
        <v>149</v>
      </c>
      <c r="C7" s="10" t="s">
        <v>152</v>
      </c>
      <c r="D7" s="10" t="s">
        <v>155</v>
      </c>
    </row>
  </sheetData>
  <phoneticPr fontId="6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88934"/>
  </sheetPr>
  <dimension ref="A1:C61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1" width="20" customWidth="1"/>
    <col min="2" max="2" width="17" customWidth="1"/>
    <col min="3" max="3" width="20" customWidth="1"/>
  </cols>
  <sheetData>
    <row r="1" spans="1:3" ht="33.950000000000003" customHeight="1">
      <c r="A1" s="2" t="s">
        <v>37</v>
      </c>
      <c r="B1" s="3"/>
      <c r="C1" s="3"/>
    </row>
    <row r="2" spans="1:3" ht="26.1" customHeight="1">
      <c r="A2" s="4" t="s">
        <v>38</v>
      </c>
      <c r="B2" s="4"/>
      <c r="C2" s="4"/>
    </row>
    <row r="3" spans="1:3" ht="26.1" customHeight="1">
      <c r="A3" s="4" t="s">
        <v>39</v>
      </c>
      <c r="B3" s="4"/>
      <c r="C3" s="4"/>
    </row>
    <row r="4" spans="1:3" ht="39.950000000000003" customHeight="1">
      <c r="A4" s="5" t="s">
        <v>33</v>
      </c>
      <c r="B4" s="6" t="s">
        <v>40</v>
      </c>
      <c r="C4" s="7" t="s">
        <v>41</v>
      </c>
    </row>
    <row r="5" spans="1:3" ht="26.1" customHeight="1">
      <c r="A5" s="9" t="s">
        <v>144</v>
      </c>
      <c r="B5" s="14">
        <v>46272</v>
      </c>
      <c r="C5" s="12">
        <v>6</v>
      </c>
    </row>
    <row r="6" spans="1:3" ht="26.1" customHeight="1">
      <c r="A6" s="9" t="s">
        <v>145</v>
      </c>
      <c r="B6" s="14">
        <v>46272</v>
      </c>
      <c r="C6" s="12">
        <v>6</v>
      </c>
    </row>
    <row r="7" spans="1:3" ht="26.1" customHeight="1">
      <c r="A7" s="10" t="s">
        <v>146</v>
      </c>
      <c r="B7" s="15">
        <v>46272</v>
      </c>
      <c r="C7" s="13">
        <v>6</v>
      </c>
    </row>
    <row r="8" spans="1:3" ht="26.1" customHeight="1">
      <c r="A8" s="11" t="s">
        <v>144</v>
      </c>
      <c r="B8" s="16">
        <v>46273</v>
      </c>
      <c r="C8" s="17">
        <v>4</v>
      </c>
    </row>
    <row r="9" spans="1:3" ht="26.1" customHeight="1">
      <c r="A9" s="11" t="s">
        <v>145</v>
      </c>
      <c r="B9" s="16">
        <v>46273</v>
      </c>
      <c r="C9" s="17">
        <v>6</v>
      </c>
    </row>
    <row r="10" spans="1:3" ht="26.1" customHeight="1">
      <c r="A10" s="11" t="s">
        <v>146</v>
      </c>
      <c r="B10" s="16">
        <v>46273</v>
      </c>
      <c r="C10" s="17">
        <v>6</v>
      </c>
    </row>
    <row r="11" spans="1:3" ht="26.1" customHeight="1">
      <c r="A11" s="11" t="s">
        <v>144</v>
      </c>
      <c r="B11" s="16">
        <v>46274</v>
      </c>
      <c r="C11" s="17">
        <v>6</v>
      </c>
    </row>
    <row r="12" spans="1:3" ht="26.1" customHeight="1">
      <c r="A12" s="11" t="s">
        <v>145</v>
      </c>
      <c r="B12" s="16">
        <v>46274</v>
      </c>
      <c r="C12" s="17">
        <v>6</v>
      </c>
    </row>
    <row r="13" spans="1:3" ht="26.1" customHeight="1">
      <c r="A13" s="11" t="s">
        <v>146</v>
      </c>
      <c r="B13" s="16">
        <v>46274</v>
      </c>
      <c r="C13" s="17">
        <v>6</v>
      </c>
    </row>
    <row r="14" spans="1:3" ht="26.1" customHeight="1">
      <c r="A14" s="11" t="s">
        <v>144</v>
      </c>
      <c r="B14" s="16">
        <v>46275</v>
      </c>
      <c r="C14" s="17">
        <v>6</v>
      </c>
    </row>
    <row r="15" spans="1:3" ht="26.1" customHeight="1">
      <c r="A15" s="11" t="s">
        <v>145</v>
      </c>
      <c r="B15" s="16">
        <v>46275</v>
      </c>
      <c r="C15" s="17">
        <v>6</v>
      </c>
    </row>
    <row r="16" spans="1:3" ht="26.1" customHeight="1">
      <c r="A16" s="11" t="s">
        <v>146</v>
      </c>
      <c r="B16" s="16">
        <v>46275</v>
      </c>
      <c r="C16" s="17">
        <v>6</v>
      </c>
    </row>
    <row r="17" spans="1:3" ht="26.1" customHeight="1">
      <c r="A17" s="11" t="s">
        <v>144</v>
      </c>
      <c r="B17" s="16">
        <v>46276</v>
      </c>
      <c r="C17" s="17">
        <v>6</v>
      </c>
    </row>
    <row r="18" spans="1:3" ht="26.1" customHeight="1">
      <c r="A18" s="11" t="s">
        <v>145</v>
      </c>
      <c r="B18" s="16">
        <v>46276</v>
      </c>
      <c r="C18" s="17">
        <v>0</v>
      </c>
    </row>
    <row r="19" spans="1:3" ht="26.1" customHeight="1">
      <c r="A19" s="11" t="s">
        <v>146</v>
      </c>
      <c r="B19" s="16">
        <v>46276</v>
      </c>
      <c r="C19" s="17">
        <v>6</v>
      </c>
    </row>
    <row r="20" spans="1:3" ht="26.1" customHeight="1">
      <c r="A20" s="11" t="s">
        <v>144</v>
      </c>
      <c r="B20" s="16">
        <v>46277</v>
      </c>
      <c r="C20" s="17">
        <v>0</v>
      </c>
    </row>
    <row r="21" spans="1:3" ht="26.1" customHeight="1">
      <c r="A21" s="11" t="s">
        <v>145</v>
      </c>
      <c r="B21" s="16">
        <v>46277</v>
      </c>
      <c r="C21" s="17">
        <v>0</v>
      </c>
    </row>
    <row r="22" spans="1:3" ht="26.1" customHeight="1">
      <c r="A22" s="11" t="s">
        <v>146</v>
      </c>
      <c r="B22" s="16">
        <v>46277</v>
      </c>
      <c r="C22" s="17">
        <v>0</v>
      </c>
    </row>
    <row r="23" spans="1:3" ht="26.1" customHeight="1">
      <c r="A23" s="11" t="s">
        <v>144</v>
      </c>
      <c r="B23" s="16">
        <v>46278</v>
      </c>
      <c r="C23" s="17">
        <v>0</v>
      </c>
    </row>
    <row r="24" spans="1:3" ht="26.1" customHeight="1">
      <c r="A24" s="11" t="s">
        <v>145</v>
      </c>
      <c r="B24" s="16">
        <v>46278</v>
      </c>
      <c r="C24" s="17">
        <v>0</v>
      </c>
    </row>
    <row r="25" spans="1:3" ht="26.1" customHeight="1">
      <c r="A25" s="11" t="s">
        <v>146</v>
      </c>
      <c r="B25" s="16">
        <v>46278</v>
      </c>
      <c r="C25" s="17">
        <v>0</v>
      </c>
    </row>
    <row r="26" spans="1:3" ht="26.1" customHeight="1">
      <c r="A26" s="11" t="s">
        <v>144</v>
      </c>
      <c r="B26" s="16">
        <v>46279</v>
      </c>
      <c r="C26" s="17">
        <v>6</v>
      </c>
    </row>
    <row r="27" spans="1:3" ht="26.1" customHeight="1">
      <c r="A27" s="11" t="s">
        <v>145</v>
      </c>
      <c r="B27" s="16">
        <v>46279</v>
      </c>
      <c r="C27" s="17">
        <v>6</v>
      </c>
    </row>
    <row r="28" spans="1:3" ht="26.1" customHeight="1">
      <c r="A28" s="11" t="s">
        <v>146</v>
      </c>
      <c r="B28" s="16">
        <v>46279</v>
      </c>
      <c r="C28" s="17">
        <v>6</v>
      </c>
    </row>
    <row r="29" spans="1:3" ht="26.1" customHeight="1">
      <c r="A29" s="11" t="s">
        <v>144</v>
      </c>
      <c r="B29" s="16">
        <v>46280</v>
      </c>
      <c r="C29" s="17">
        <v>6</v>
      </c>
    </row>
    <row r="30" spans="1:3" ht="26.1" customHeight="1">
      <c r="A30" s="11" t="s">
        <v>145</v>
      </c>
      <c r="B30" s="16">
        <v>46280</v>
      </c>
      <c r="C30" s="17">
        <v>6</v>
      </c>
    </row>
    <row r="31" spans="1:3" ht="26.1" customHeight="1">
      <c r="A31" s="11" t="s">
        <v>146</v>
      </c>
      <c r="B31" s="16">
        <v>46280</v>
      </c>
      <c r="C31" s="17">
        <v>6</v>
      </c>
    </row>
    <row r="32" spans="1:3" ht="26.1" customHeight="1">
      <c r="A32" s="11" t="s">
        <v>144</v>
      </c>
      <c r="B32" s="16">
        <v>46281</v>
      </c>
      <c r="C32" s="17">
        <v>6</v>
      </c>
    </row>
    <row r="33" spans="1:3" ht="26.1" customHeight="1">
      <c r="A33" s="11" t="s">
        <v>145</v>
      </c>
      <c r="B33" s="16">
        <v>46281</v>
      </c>
      <c r="C33" s="17">
        <v>6</v>
      </c>
    </row>
    <row r="34" spans="1:3" ht="26.1" customHeight="1">
      <c r="A34" s="11" t="s">
        <v>146</v>
      </c>
      <c r="B34" s="16">
        <v>46281</v>
      </c>
      <c r="C34" s="17">
        <v>6</v>
      </c>
    </row>
    <row r="35" spans="1:3" ht="26.1" customHeight="1">
      <c r="A35" s="11" t="s">
        <v>144</v>
      </c>
      <c r="B35" s="16">
        <v>46282</v>
      </c>
      <c r="C35" s="17">
        <v>6</v>
      </c>
    </row>
    <row r="36" spans="1:3" ht="26.1" customHeight="1">
      <c r="A36" s="11" t="s">
        <v>145</v>
      </c>
      <c r="B36" s="16">
        <v>46282</v>
      </c>
      <c r="C36" s="17">
        <v>6</v>
      </c>
    </row>
    <row r="37" spans="1:3" ht="26.1" customHeight="1">
      <c r="A37" s="11" t="s">
        <v>146</v>
      </c>
      <c r="B37" s="16">
        <v>46282</v>
      </c>
      <c r="C37" s="17">
        <v>6</v>
      </c>
    </row>
    <row r="38" spans="1:3" ht="26.1" customHeight="1">
      <c r="A38" s="11" t="s">
        <v>144</v>
      </c>
      <c r="B38" s="16">
        <v>46283</v>
      </c>
      <c r="C38" s="17">
        <v>6</v>
      </c>
    </row>
    <row r="39" spans="1:3" ht="26.1" customHeight="1">
      <c r="A39" s="11" t="s">
        <v>145</v>
      </c>
      <c r="B39" s="16">
        <v>46283</v>
      </c>
      <c r="C39" s="17">
        <v>6</v>
      </c>
    </row>
    <row r="40" spans="1:3" ht="26.1" customHeight="1">
      <c r="A40" s="11" t="s">
        <v>146</v>
      </c>
      <c r="B40" s="16">
        <v>46283</v>
      </c>
      <c r="C40" s="17">
        <v>6</v>
      </c>
    </row>
    <row r="41" spans="1:3" ht="26.1" customHeight="1">
      <c r="A41" s="11" t="s">
        <v>144</v>
      </c>
      <c r="B41" s="16">
        <v>46284</v>
      </c>
      <c r="C41" s="17">
        <v>0</v>
      </c>
    </row>
    <row r="42" spans="1:3" ht="26.1" customHeight="1">
      <c r="A42" s="11" t="s">
        <v>145</v>
      </c>
      <c r="B42" s="16">
        <v>46284</v>
      </c>
      <c r="C42" s="17">
        <v>0</v>
      </c>
    </row>
    <row r="43" spans="1:3" ht="26.1" customHeight="1">
      <c r="A43" s="11" t="s">
        <v>146</v>
      </c>
      <c r="B43" s="16">
        <v>46284</v>
      </c>
      <c r="C43" s="17">
        <v>0</v>
      </c>
    </row>
    <row r="44" spans="1:3" ht="26.1" customHeight="1">
      <c r="A44" s="11" t="s">
        <v>144</v>
      </c>
      <c r="B44" s="16">
        <v>46285</v>
      </c>
      <c r="C44" s="17">
        <v>0</v>
      </c>
    </row>
    <row r="45" spans="1:3" ht="26.1" customHeight="1">
      <c r="A45" s="11" t="s">
        <v>145</v>
      </c>
      <c r="B45" s="16">
        <v>46285</v>
      </c>
      <c r="C45" s="17">
        <v>0</v>
      </c>
    </row>
    <row r="46" spans="1:3" ht="26.1" customHeight="1">
      <c r="A46" s="11" t="s">
        <v>146</v>
      </c>
      <c r="B46" s="16">
        <v>46285</v>
      </c>
      <c r="C46" s="17">
        <v>0</v>
      </c>
    </row>
    <row r="47" spans="1:3" ht="26.1" customHeight="1">
      <c r="A47" s="11" t="s">
        <v>144</v>
      </c>
      <c r="B47" s="16">
        <v>46286</v>
      </c>
      <c r="C47" s="17">
        <v>6</v>
      </c>
    </row>
    <row r="48" spans="1:3" ht="26.1" customHeight="1">
      <c r="A48" s="11" t="s">
        <v>145</v>
      </c>
      <c r="B48" s="16">
        <v>46286</v>
      </c>
      <c r="C48" s="17">
        <v>6</v>
      </c>
    </row>
    <row r="49" spans="1:3" ht="26.1" customHeight="1">
      <c r="A49" s="11" t="s">
        <v>146</v>
      </c>
      <c r="B49" s="16">
        <v>46286</v>
      </c>
      <c r="C49" s="17">
        <v>6</v>
      </c>
    </row>
    <row r="50" spans="1:3" ht="26.1" customHeight="1">
      <c r="A50" s="11" t="s">
        <v>144</v>
      </c>
      <c r="B50" s="16">
        <v>46287</v>
      </c>
      <c r="C50" s="17">
        <v>6</v>
      </c>
    </row>
    <row r="51" spans="1:3" ht="26.1" customHeight="1">
      <c r="A51" s="11" t="s">
        <v>145</v>
      </c>
      <c r="B51" s="16">
        <v>46287</v>
      </c>
      <c r="C51" s="17">
        <v>6</v>
      </c>
    </row>
    <row r="52" spans="1:3" ht="26.1" customHeight="1">
      <c r="A52" s="11" t="s">
        <v>146</v>
      </c>
      <c r="B52" s="16">
        <v>46287</v>
      </c>
      <c r="C52" s="17">
        <v>6</v>
      </c>
    </row>
    <row r="53" spans="1:3" ht="26.1" customHeight="1">
      <c r="A53" s="11" t="s">
        <v>144</v>
      </c>
      <c r="B53" s="16">
        <v>46288</v>
      </c>
      <c r="C53" s="17">
        <v>6</v>
      </c>
    </row>
    <row r="54" spans="1:3" ht="26.1" customHeight="1">
      <c r="A54" s="11" t="s">
        <v>145</v>
      </c>
      <c r="B54" s="16">
        <v>46288</v>
      </c>
      <c r="C54" s="17">
        <v>6</v>
      </c>
    </row>
    <row r="55" spans="1:3" ht="26.1" customHeight="1">
      <c r="A55" s="11" t="s">
        <v>146</v>
      </c>
      <c r="B55" s="16">
        <v>46288</v>
      </c>
      <c r="C55" s="17">
        <v>6</v>
      </c>
    </row>
    <row r="56" spans="1:3" ht="26.1" customHeight="1">
      <c r="A56" s="11" t="s">
        <v>144</v>
      </c>
      <c r="B56" s="16">
        <v>46289</v>
      </c>
      <c r="C56" s="17">
        <v>6</v>
      </c>
    </row>
    <row r="57" spans="1:3" ht="26.1" customHeight="1">
      <c r="A57" s="11" t="s">
        <v>145</v>
      </c>
      <c r="B57" s="16">
        <v>46289</v>
      </c>
      <c r="C57" s="17">
        <v>6</v>
      </c>
    </row>
    <row r="58" spans="1:3" ht="26.1" customHeight="1">
      <c r="A58" s="11" t="s">
        <v>146</v>
      </c>
      <c r="B58" s="16">
        <v>46289</v>
      </c>
      <c r="C58" s="17">
        <v>6</v>
      </c>
    </row>
    <row r="59" spans="1:3" ht="26.1" customHeight="1">
      <c r="A59" s="11" t="s">
        <v>144</v>
      </c>
      <c r="B59" s="16">
        <v>46290</v>
      </c>
      <c r="C59" s="17">
        <v>6</v>
      </c>
    </row>
    <row r="60" spans="1:3" ht="26.1" customHeight="1">
      <c r="A60" s="11" t="s">
        <v>145</v>
      </c>
      <c r="B60" s="16">
        <v>46290</v>
      </c>
      <c r="C60" s="17">
        <v>6</v>
      </c>
    </row>
    <row r="61" spans="1:3" ht="26.1" customHeight="1">
      <c r="A61" s="11" t="s">
        <v>146</v>
      </c>
      <c r="B61" s="16">
        <v>46290</v>
      </c>
      <c r="C61" s="17">
        <v>6</v>
      </c>
    </row>
  </sheetData>
  <phoneticPr fontId="6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88934"/>
  </sheetPr>
  <dimension ref="A1:N13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2" width="20" customWidth="1"/>
    <col min="3" max="3" width="25" customWidth="1"/>
    <col min="4" max="4" width="42" customWidth="1"/>
    <col min="5" max="5" width="20" customWidth="1"/>
    <col min="6" max="6" width="38" customWidth="1"/>
    <col min="7" max="7" width="48" customWidth="1"/>
    <col min="8" max="8" width="20" customWidth="1"/>
    <col min="9" max="9" width="45" customWidth="1"/>
    <col min="10" max="10" width="20" customWidth="1"/>
    <col min="11" max="12" width="17" customWidth="1"/>
    <col min="13" max="13" width="27" customWidth="1"/>
    <col min="14" max="14" width="20" customWidth="1"/>
  </cols>
  <sheetData>
    <row r="1" spans="1:14" ht="33.950000000000003" customHeight="1">
      <c r="A1" s="2" t="s">
        <v>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26.1" customHeight="1">
      <c r="A2" s="4" t="s">
        <v>43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26.1" customHeight="1">
      <c r="A3" s="4" t="s">
        <v>44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39.950000000000003" customHeight="1">
      <c r="A4" s="5" t="s">
        <v>45</v>
      </c>
      <c r="B4" s="6" t="s">
        <v>46</v>
      </c>
      <c r="C4" s="6" t="s">
        <v>47</v>
      </c>
      <c r="D4" s="6" t="s">
        <v>48</v>
      </c>
      <c r="E4" s="6" t="s">
        <v>18</v>
      </c>
      <c r="F4" s="6" t="s">
        <v>49</v>
      </c>
      <c r="G4" s="6" t="s">
        <v>50</v>
      </c>
      <c r="H4" s="6" t="s">
        <v>51</v>
      </c>
      <c r="I4" s="6" t="s">
        <v>52</v>
      </c>
      <c r="J4" s="6" t="s">
        <v>53</v>
      </c>
      <c r="K4" s="6" t="s">
        <v>54</v>
      </c>
      <c r="L4" s="6" t="s">
        <v>55</v>
      </c>
      <c r="M4" s="6" t="s">
        <v>56</v>
      </c>
      <c r="N4" s="7" t="s">
        <v>29</v>
      </c>
    </row>
    <row r="5" spans="1:14" ht="26.1" customHeight="1">
      <c r="A5" s="9" t="s">
        <v>156</v>
      </c>
      <c r="B5" s="9" t="s">
        <v>120</v>
      </c>
      <c r="C5" s="9" t="s">
        <v>165</v>
      </c>
      <c r="D5" s="9" t="s">
        <v>166</v>
      </c>
      <c r="E5" s="9" t="s">
        <v>120</v>
      </c>
      <c r="F5" s="9" t="s">
        <v>120</v>
      </c>
      <c r="G5" s="9" t="s">
        <v>120</v>
      </c>
      <c r="H5" s="12" t="s">
        <v>120</v>
      </c>
      <c r="I5" s="9" t="s">
        <v>120</v>
      </c>
      <c r="J5" s="9" t="s">
        <v>120</v>
      </c>
      <c r="K5" s="14" t="s">
        <v>120</v>
      </c>
      <c r="L5" s="14" t="s">
        <v>120</v>
      </c>
      <c r="M5" s="9" t="s">
        <v>120</v>
      </c>
      <c r="N5" s="9" t="s">
        <v>188</v>
      </c>
    </row>
    <row r="6" spans="1:14" ht="26.1" customHeight="1">
      <c r="A6" s="9" t="s">
        <v>157</v>
      </c>
      <c r="B6" s="9" t="s">
        <v>156</v>
      </c>
      <c r="C6" s="9" t="s">
        <v>165</v>
      </c>
      <c r="D6" s="9" t="s">
        <v>167</v>
      </c>
      <c r="E6" s="9" t="s">
        <v>175</v>
      </c>
      <c r="F6" s="9" t="s">
        <v>178</v>
      </c>
      <c r="G6" s="9" t="s">
        <v>186</v>
      </c>
      <c r="H6" s="12">
        <v>2</v>
      </c>
      <c r="I6" s="9" t="s">
        <v>187</v>
      </c>
      <c r="J6" s="9" t="s">
        <v>144</v>
      </c>
      <c r="K6" s="14">
        <v>46272</v>
      </c>
      <c r="L6" s="14">
        <v>46272</v>
      </c>
      <c r="M6" s="9" t="s">
        <v>120</v>
      </c>
      <c r="N6" s="9" t="s">
        <v>188</v>
      </c>
    </row>
    <row r="7" spans="1:14" ht="26.1" customHeight="1">
      <c r="A7" s="10" t="s">
        <v>158</v>
      </c>
      <c r="B7" s="10" t="s">
        <v>156</v>
      </c>
      <c r="C7" s="10" t="s">
        <v>165</v>
      </c>
      <c r="D7" s="10" t="s">
        <v>168</v>
      </c>
      <c r="E7" s="10" t="s">
        <v>126</v>
      </c>
      <c r="F7" s="10" t="s">
        <v>179</v>
      </c>
      <c r="G7" s="10" t="s">
        <v>186</v>
      </c>
      <c r="H7" s="13">
        <v>4</v>
      </c>
      <c r="I7" s="10" t="s">
        <v>187</v>
      </c>
      <c r="J7" s="10" t="s">
        <v>144</v>
      </c>
      <c r="K7" s="15">
        <v>46273</v>
      </c>
      <c r="L7" s="15">
        <v>46273</v>
      </c>
      <c r="M7" s="10" t="s">
        <v>157</v>
      </c>
      <c r="N7" s="10" t="s">
        <v>188</v>
      </c>
    </row>
    <row r="8" spans="1:14" ht="26.1" customHeight="1">
      <c r="A8" s="11" t="s">
        <v>159</v>
      </c>
      <c r="B8" s="11" t="s">
        <v>156</v>
      </c>
      <c r="C8" s="11" t="s">
        <v>165</v>
      </c>
      <c r="D8" s="11" t="s">
        <v>169</v>
      </c>
      <c r="E8" s="11" t="s">
        <v>176</v>
      </c>
      <c r="F8" s="11" t="s">
        <v>180</v>
      </c>
      <c r="G8" s="11" t="s">
        <v>186</v>
      </c>
      <c r="H8" s="17">
        <v>2</v>
      </c>
      <c r="I8" s="11" t="s">
        <v>187</v>
      </c>
      <c r="J8" s="11" t="s">
        <v>145</v>
      </c>
      <c r="K8" s="16">
        <v>46274</v>
      </c>
      <c r="L8" s="16">
        <v>46274</v>
      </c>
      <c r="M8" s="11" t="s">
        <v>158</v>
      </c>
      <c r="N8" s="11" t="s">
        <v>188</v>
      </c>
    </row>
    <row r="9" spans="1:14" ht="26.1" customHeight="1">
      <c r="A9" s="11" t="s">
        <v>160</v>
      </c>
      <c r="B9" s="11" t="s">
        <v>156</v>
      </c>
      <c r="C9" s="11" t="s">
        <v>165</v>
      </c>
      <c r="D9" s="11" t="s">
        <v>170</v>
      </c>
      <c r="E9" s="11" t="s">
        <v>127</v>
      </c>
      <c r="F9" s="11" t="s">
        <v>181</v>
      </c>
      <c r="G9" s="11" t="s">
        <v>186</v>
      </c>
      <c r="H9" s="17">
        <v>6</v>
      </c>
      <c r="I9" s="11" t="s">
        <v>187</v>
      </c>
      <c r="J9" s="11" t="s">
        <v>144</v>
      </c>
      <c r="K9" s="16">
        <v>46275</v>
      </c>
      <c r="L9" s="16">
        <v>46275</v>
      </c>
      <c r="M9" s="11" t="s">
        <v>159</v>
      </c>
      <c r="N9" s="11" t="s">
        <v>188</v>
      </c>
    </row>
    <row r="10" spans="1:14" ht="26.1" customHeight="1">
      <c r="A10" s="11" t="s">
        <v>161</v>
      </c>
      <c r="B10" s="11" t="s">
        <v>156</v>
      </c>
      <c r="C10" s="11" t="s">
        <v>165</v>
      </c>
      <c r="D10" s="11" t="s">
        <v>171</v>
      </c>
      <c r="E10" s="11" t="s">
        <v>176</v>
      </c>
      <c r="F10" s="11" t="s">
        <v>182</v>
      </c>
      <c r="G10" s="11" t="s">
        <v>186</v>
      </c>
      <c r="H10" s="17">
        <v>2</v>
      </c>
      <c r="I10" s="11" t="s">
        <v>187</v>
      </c>
      <c r="J10" s="11" t="s">
        <v>145</v>
      </c>
      <c r="K10" s="16">
        <v>46279</v>
      </c>
      <c r="L10" s="16">
        <v>46279</v>
      </c>
      <c r="M10" s="11" t="s">
        <v>160</v>
      </c>
      <c r="N10" s="11" t="s">
        <v>188</v>
      </c>
    </row>
    <row r="11" spans="1:14" ht="26.1" customHeight="1">
      <c r="A11" s="11" t="s">
        <v>162</v>
      </c>
      <c r="B11" s="11" t="s">
        <v>156</v>
      </c>
      <c r="C11" s="11" t="s">
        <v>165</v>
      </c>
      <c r="D11" s="11" t="s">
        <v>172</v>
      </c>
      <c r="E11" s="11" t="s">
        <v>128</v>
      </c>
      <c r="F11" s="11" t="s">
        <v>183</v>
      </c>
      <c r="G11" s="11" t="s">
        <v>186</v>
      </c>
      <c r="H11" s="17">
        <v>4</v>
      </c>
      <c r="I11" s="11" t="s">
        <v>187</v>
      </c>
      <c r="J11" s="11" t="s">
        <v>145</v>
      </c>
      <c r="K11" s="16">
        <v>46280</v>
      </c>
      <c r="L11" s="16">
        <v>46280</v>
      </c>
      <c r="M11" s="11" t="s">
        <v>161</v>
      </c>
      <c r="N11" s="11" t="s">
        <v>188</v>
      </c>
    </row>
    <row r="12" spans="1:14" ht="26.1" customHeight="1">
      <c r="A12" s="11" t="s">
        <v>163</v>
      </c>
      <c r="B12" s="11" t="s">
        <v>156</v>
      </c>
      <c r="C12" s="11" t="s">
        <v>165</v>
      </c>
      <c r="D12" s="11" t="s">
        <v>173</v>
      </c>
      <c r="E12" s="11" t="s">
        <v>128</v>
      </c>
      <c r="F12" s="11" t="s">
        <v>184</v>
      </c>
      <c r="G12" s="11" t="s">
        <v>186</v>
      </c>
      <c r="H12" s="17">
        <v>4</v>
      </c>
      <c r="I12" s="11" t="s">
        <v>187</v>
      </c>
      <c r="J12" s="11" t="s">
        <v>146</v>
      </c>
      <c r="K12" s="16">
        <v>46281</v>
      </c>
      <c r="L12" s="16">
        <v>46282</v>
      </c>
      <c r="M12" s="11" t="s">
        <v>162</v>
      </c>
      <c r="N12" s="11" t="s">
        <v>188</v>
      </c>
    </row>
    <row r="13" spans="1:14" ht="26.1" customHeight="1">
      <c r="A13" s="11" t="s">
        <v>164</v>
      </c>
      <c r="B13" s="11" t="s">
        <v>156</v>
      </c>
      <c r="C13" s="11" t="s">
        <v>165</v>
      </c>
      <c r="D13" s="11" t="s">
        <v>174</v>
      </c>
      <c r="E13" s="11" t="s">
        <v>177</v>
      </c>
      <c r="F13" s="11" t="s">
        <v>185</v>
      </c>
      <c r="G13" s="11" t="s">
        <v>186</v>
      </c>
      <c r="H13" s="17">
        <v>2</v>
      </c>
      <c r="I13" s="11" t="s">
        <v>187</v>
      </c>
      <c r="J13" s="11" t="s">
        <v>146</v>
      </c>
      <c r="K13" s="16">
        <v>46283</v>
      </c>
      <c r="L13" s="16">
        <v>46283</v>
      </c>
      <c r="M13" s="11" t="s">
        <v>163</v>
      </c>
      <c r="N13" s="11" t="s">
        <v>188</v>
      </c>
    </row>
  </sheetData>
  <phoneticPr fontId="6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88934"/>
  </sheetPr>
  <dimension ref="A1:C13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1" width="20" customWidth="1"/>
    <col min="2" max="2" width="17" customWidth="1"/>
    <col min="3" max="3" width="20" customWidth="1"/>
  </cols>
  <sheetData>
    <row r="1" spans="1:3" ht="33.950000000000003" customHeight="1">
      <c r="A1" s="2" t="s">
        <v>57</v>
      </c>
      <c r="B1" s="3"/>
      <c r="C1" s="3"/>
    </row>
    <row r="2" spans="1:3" ht="26.1" customHeight="1">
      <c r="A2" s="4" t="s">
        <v>58</v>
      </c>
      <c r="B2" s="4"/>
      <c r="C2" s="4"/>
    </row>
    <row r="3" spans="1:3" ht="26.1" customHeight="1">
      <c r="A3" s="4" t="s">
        <v>59</v>
      </c>
      <c r="B3" s="4"/>
      <c r="C3" s="4"/>
    </row>
    <row r="4" spans="1:3" ht="39.950000000000003" customHeight="1">
      <c r="A4" s="5" t="s">
        <v>45</v>
      </c>
      <c r="B4" s="6" t="s">
        <v>40</v>
      </c>
      <c r="C4" s="7" t="s">
        <v>60</v>
      </c>
    </row>
    <row r="5" spans="1:3" ht="26.1" customHeight="1">
      <c r="A5" s="9" t="s">
        <v>157</v>
      </c>
      <c r="B5" s="14">
        <v>46272</v>
      </c>
      <c r="C5" s="12">
        <v>2</v>
      </c>
    </row>
    <row r="6" spans="1:3" ht="26.1" customHeight="1">
      <c r="A6" s="9" t="s">
        <v>158</v>
      </c>
      <c r="B6" s="14">
        <v>46273</v>
      </c>
      <c r="C6" s="12">
        <v>4</v>
      </c>
    </row>
    <row r="7" spans="1:3" ht="26.1" customHeight="1">
      <c r="A7" s="10" t="s">
        <v>159</v>
      </c>
      <c r="B7" s="15">
        <v>46274</v>
      </c>
      <c r="C7" s="13">
        <v>2</v>
      </c>
    </row>
    <row r="8" spans="1:3" ht="26.1" customHeight="1">
      <c r="A8" s="11" t="s">
        <v>160</v>
      </c>
      <c r="B8" s="16">
        <v>46275</v>
      </c>
      <c r="C8" s="17">
        <v>6</v>
      </c>
    </row>
    <row r="9" spans="1:3" ht="26.1" customHeight="1">
      <c r="A9" s="11" t="s">
        <v>161</v>
      </c>
      <c r="B9" s="16">
        <v>46279</v>
      </c>
      <c r="C9" s="17">
        <v>2</v>
      </c>
    </row>
    <row r="10" spans="1:3" ht="26.1" customHeight="1">
      <c r="A10" s="11" t="s">
        <v>162</v>
      </c>
      <c r="B10" s="16">
        <v>46280</v>
      </c>
      <c r="C10" s="17">
        <v>4</v>
      </c>
    </row>
    <row r="11" spans="1:3" ht="26.1" customHeight="1">
      <c r="A11" s="11" t="s">
        <v>163</v>
      </c>
      <c r="B11" s="16">
        <v>46281</v>
      </c>
      <c r="C11" s="17">
        <v>2</v>
      </c>
    </row>
    <row r="12" spans="1:3" ht="26.1" customHeight="1">
      <c r="A12" s="11" t="s">
        <v>163</v>
      </c>
      <c r="B12" s="16">
        <v>46282</v>
      </c>
      <c r="C12" s="17">
        <v>2</v>
      </c>
    </row>
    <row r="13" spans="1:3" ht="26.1" customHeight="1">
      <c r="A13" s="11" t="s">
        <v>164</v>
      </c>
      <c r="B13" s="16">
        <v>46283</v>
      </c>
      <c r="C13" s="17">
        <v>2</v>
      </c>
    </row>
  </sheetData>
  <phoneticPr fontId="6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88934"/>
  </sheetPr>
  <dimension ref="A1:E7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2" width="20" customWidth="1"/>
    <col min="3" max="3" width="52" customWidth="1"/>
    <col min="4" max="4" width="20" customWidth="1"/>
    <col min="5" max="5" width="46" customWidth="1"/>
  </cols>
  <sheetData>
    <row r="1" spans="1:5" ht="33.950000000000003" customHeight="1">
      <c r="A1" s="2" t="s">
        <v>61</v>
      </c>
      <c r="B1" s="3"/>
      <c r="C1" s="3"/>
      <c r="D1" s="3"/>
      <c r="E1" s="3"/>
    </row>
    <row r="2" spans="1:5" ht="26.1" customHeight="1">
      <c r="A2" s="4" t="s">
        <v>62</v>
      </c>
      <c r="B2" s="4"/>
      <c r="C2" s="4"/>
      <c r="D2" s="4"/>
      <c r="E2" s="4"/>
    </row>
    <row r="3" spans="1:5" ht="26.1" customHeight="1">
      <c r="A3" s="4" t="s">
        <v>63</v>
      </c>
      <c r="B3" s="4"/>
      <c r="C3" s="4"/>
      <c r="D3" s="4"/>
      <c r="E3" s="4"/>
    </row>
    <row r="4" spans="1:5" ht="39.950000000000003" customHeight="1">
      <c r="A4" s="5" t="s">
        <v>64</v>
      </c>
      <c r="B4" s="6" t="s">
        <v>65</v>
      </c>
      <c r="C4" s="6" t="s">
        <v>66</v>
      </c>
      <c r="D4" s="6" t="s">
        <v>67</v>
      </c>
      <c r="E4" s="7" t="s">
        <v>68</v>
      </c>
    </row>
    <row r="5" spans="1:5" ht="26.1" customHeight="1">
      <c r="A5" s="9"/>
      <c r="B5" s="9"/>
      <c r="C5" s="9"/>
      <c r="D5" s="9"/>
      <c r="E5" s="9"/>
    </row>
    <row r="6" spans="1:5" ht="30" customHeight="1">
      <c r="A6" s="8"/>
      <c r="B6" s="8"/>
      <c r="C6" s="8"/>
      <c r="D6" s="8"/>
      <c r="E6" s="8"/>
    </row>
    <row r="7" spans="1:5" ht="26.1" customHeight="1">
      <c r="A7" s="1"/>
      <c r="B7" s="1"/>
      <c r="C7" s="1"/>
      <c r="D7" s="1"/>
      <c r="E7" s="1"/>
    </row>
  </sheetData>
  <phoneticPr fontId="6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39577B"/>
  </sheetPr>
  <dimension ref="A1:F13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1" width="20" customWidth="1"/>
    <col min="2" max="2" width="42" customWidth="1"/>
    <col min="3" max="4" width="20" customWidth="1"/>
    <col min="5" max="5" width="45" customWidth="1"/>
    <col min="6" max="6" width="20" customWidth="1"/>
  </cols>
  <sheetData>
    <row r="1" spans="1:6" ht="33.950000000000003" customHeight="1">
      <c r="A1" s="2" t="s">
        <v>69</v>
      </c>
      <c r="B1" s="3"/>
      <c r="C1" s="3"/>
      <c r="D1" s="3"/>
      <c r="E1" s="3"/>
      <c r="F1" s="3"/>
    </row>
    <row r="2" spans="1:6" ht="26.1" customHeight="1">
      <c r="A2" s="4" t="s">
        <v>70</v>
      </c>
      <c r="B2" s="4"/>
      <c r="C2" s="4"/>
      <c r="D2" s="4"/>
      <c r="E2" s="4"/>
      <c r="F2" s="4"/>
    </row>
    <row r="3" spans="1:6" ht="26.1" customHeight="1">
      <c r="A3" s="4" t="s">
        <v>71</v>
      </c>
      <c r="B3" s="4"/>
      <c r="C3" s="4"/>
      <c r="D3" s="4"/>
      <c r="E3" s="4"/>
      <c r="F3" s="4"/>
    </row>
    <row r="4" spans="1:6" ht="39.950000000000003" customHeight="1">
      <c r="A4" s="5" t="s">
        <v>45</v>
      </c>
      <c r="B4" s="6" t="s">
        <v>48</v>
      </c>
      <c r="C4" s="6" t="s">
        <v>18</v>
      </c>
      <c r="D4" s="6" t="s">
        <v>72</v>
      </c>
      <c r="E4" s="6" t="s">
        <v>20</v>
      </c>
      <c r="F4" s="7" t="s">
        <v>73</v>
      </c>
    </row>
    <row r="5" spans="1:6" ht="26.1" customHeight="1">
      <c r="A5" s="18" t="s">
        <v>156</v>
      </c>
      <c r="B5" s="18" t="s">
        <v>166</v>
      </c>
      <c r="C5" s="18" t="s">
        <v>120</v>
      </c>
      <c r="D5" s="19">
        <f>IF(COUNT(INDEX(見積表!$D$5:$D$13,MATCH("T-001",見積表!$A$5:$A$13,0)),INDEX(見積表!$D$5:$D$13,MATCH("T-002",見積表!$A$5:$A$13,0)),INDEX(見積表!$D$5:$D$13,MATCH("T-003",見積表!$A$5:$A$13,0)),INDEX(見積表!$D$5:$D$13,MATCH("T-004",見積表!$A$5:$A$13,0)),INDEX(見積表!$D$5:$D$13,MATCH("T-005",見積表!$A$5:$A$13,0)),INDEX(見積表!$D$5:$D$13,MATCH("T-006",見積表!$A$5:$A$13,0)),INDEX(見積表!$D$5:$D$13,MATCH("T-007",見積表!$A$5:$A$13,0)),INDEX(見積表!$D$5:$D$13,MATCH("T-008",見積表!$A$5:$A$13,0)))=8,SUM(INDEX(見積表!$D$5:$D$13,MATCH("T-001",見積表!$A$5:$A$13,0)),INDEX(見積表!$D$5:$D$13,MATCH("T-002",見積表!$A$5:$A$13,0)),INDEX(見積表!$D$5:$D$13,MATCH("T-003",見積表!$A$5:$A$13,0)),INDEX(見積表!$D$5:$D$13,MATCH("T-004",見積表!$A$5:$A$13,0)),INDEX(見積表!$D$5:$D$13,MATCH("T-005",見積表!$A$5:$A$13,0)),INDEX(見積表!$D$5:$D$13,MATCH("T-006",見積表!$A$5:$A$13,0)),INDEX(見積表!$D$5:$D$13,MATCH("T-007",見積表!$A$5:$A$13,0)),INDEX(見積表!$D$5:$D$13,MATCH("T-008",見積表!$A$5:$A$13,0))),"")</f>
        <v>26</v>
      </c>
      <c r="E5" s="18" t="s">
        <v>120</v>
      </c>
      <c r="F5" s="18" t="s">
        <v>107</v>
      </c>
    </row>
    <row r="6" spans="1:6" ht="26.1" customHeight="1">
      <c r="A6" s="18" t="s">
        <v>157</v>
      </c>
      <c r="B6" s="18" t="s">
        <v>167</v>
      </c>
      <c r="C6" s="18" t="s">
        <v>175</v>
      </c>
      <c r="D6" s="19">
        <f>IF(COUNT(INDEX(作業台帳!$H$5:$H$13,MATCH(A6,作業台帳!$A$5:$A$13,0)))=1,INDEX(作業台帳!$H$5:$H$13,MATCH(A6,作業台帳!$A$5:$A$13,0)),"")</f>
        <v>2</v>
      </c>
      <c r="E6" s="18" t="s">
        <v>187</v>
      </c>
      <c r="F6" s="18" t="s">
        <v>189</v>
      </c>
    </row>
    <row r="7" spans="1:6" ht="26.1" customHeight="1">
      <c r="A7" s="10" t="s">
        <v>158</v>
      </c>
      <c r="B7" s="10" t="s">
        <v>168</v>
      </c>
      <c r="C7" s="10" t="s">
        <v>126</v>
      </c>
      <c r="D7" s="13">
        <f>IF(COUNT(INDEX(作業台帳!$H$5:$H$13,MATCH(A7,作業台帳!$A$5:$A$13,0)))=1,INDEX(作業台帳!$H$5:$H$13,MATCH(A7,作業台帳!$A$5:$A$13,0)),"")</f>
        <v>4</v>
      </c>
      <c r="E7" s="10" t="s">
        <v>187</v>
      </c>
      <c r="F7" s="10" t="s">
        <v>189</v>
      </c>
    </row>
    <row r="8" spans="1:6" ht="26.1" customHeight="1">
      <c r="A8" s="11" t="s">
        <v>159</v>
      </c>
      <c r="B8" s="11" t="s">
        <v>169</v>
      </c>
      <c r="C8" s="11" t="s">
        <v>176</v>
      </c>
      <c r="D8" s="17">
        <f>IF(COUNT(INDEX(作業台帳!$H$5:$H$13,MATCH(A8,作業台帳!$A$5:$A$13,0)))=1,INDEX(作業台帳!$H$5:$H$13,MATCH(A8,作業台帳!$A$5:$A$13,0)),"")</f>
        <v>2</v>
      </c>
      <c r="E8" s="11" t="s">
        <v>187</v>
      </c>
      <c r="F8" s="11" t="s">
        <v>189</v>
      </c>
    </row>
    <row r="9" spans="1:6" ht="26.1" customHeight="1">
      <c r="A9" s="11" t="s">
        <v>160</v>
      </c>
      <c r="B9" s="11" t="s">
        <v>170</v>
      </c>
      <c r="C9" s="11" t="s">
        <v>127</v>
      </c>
      <c r="D9" s="17">
        <f>IF(COUNT(INDEX(作業台帳!$H$5:$H$13,MATCH(A9,作業台帳!$A$5:$A$13,0)))=1,INDEX(作業台帳!$H$5:$H$13,MATCH(A9,作業台帳!$A$5:$A$13,0)),"")</f>
        <v>6</v>
      </c>
      <c r="E9" s="11" t="s">
        <v>187</v>
      </c>
      <c r="F9" s="11" t="s">
        <v>189</v>
      </c>
    </row>
    <row r="10" spans="1:6" ht="26.1" customHeight="1">
      <c r="A10" s="11" t="s">
        <v>161</v>
      </c>
      <c r="B10" s="11" t="s">
        <v>171</v>
      </c>
      <c r="C10" s="11" t="s">
        <v>176</v>
      </c>
      <c r="D10" s="17">
        <f>IF(COUNT(INDEX(作業台帳!$H$5:$H$13,MATCH(A10,作業台帳!$A$5:$A$13,0)))=1,INDEX(作業台帳!$H$5:$H$13,MATCH(A10,作業台帳!$A$5:$A$13,0)),"")</f>
        <v>2</v>
      </c>
      <c r="E10" s="11" t="s">
        <v>187</v>
      </c>
      <c r="F10" s="11" t="s">
        <v>189</v>
      </c>
    </row>
    <row r="11" spans="1:6" ht="26.1" customHeight="1">
      <c r="A11" s="11" t="s">
        <v>162</v>
      </c>
      <c r="B11" s="11" t="s">
        <v>172</v>
      </c>
      <c r="C11" s="11" t="s">
        <v>128</v>
      </c>
      <c r="D11" s="17">
        <f>IF(COUNT(INDEX(作業台帳!$H$5:$H$13,MATCH(A11,作業台帳!$A$5:$A$13,0)))=1,INDEX(作業台帳!$H$5:$H$13,MATCH(A11,作業台帳!$A$5:$A$13,0)),"")</f>
        <v>4</v>
      </c>
      <c r="E11" s="11" t="s">
        <v>187</v>
      </c>
      <c r="F11" s="11" t="s">
        <v>189</v>
      </c>
    </row>
    <row r="12" spans="1:6" ht="26.1" customHeight="1">
      <c r="A12" s="11" t="s">
        <v>163</v>
      </c>
      <c r="B12" s="11" t="s">
        <v>173</v>
      </c>
      <c r="C12" s="11" t="s">
        <v>128</v>
      </c>
      <c r="D12" s="17">
        <f>IF(COUNT(INDEX(作業台帳!$H$5:$H$13,MATCH(A12,作業台帳!$A$5:$A$13,0)))=1,INDEX(作業台帳!$H$5:$H$13,MATCH(A12,作業台帳!$A$5:$A$13,0)),"")</f>
        <v>4</v>
      </c>
      <c r="E12" s="11" t="s">
        <v>187</v>
      </c>
      <c r="F12" s="11" t="s">
        <v>189</v>
      </c>
    </row>
    <row r="13" spans="1:6" ht="26.1" customHeight="1">
      <c r="A13" s="11" t="s">
        <v>164</v>
      </c>
      <c r="B13" s="11" t="s">
        <v>174</v>
      </c>
      <c r="C13" s="11" t="s">
        <v>177</v>
      </c>
      <c r="D13" s="17">
        <f>IF(COUNT(INDEX(作業台帳!$H$5:$H$13,MATCH(A13,作業台帳!$A$5:$A$13,0)))=1,INDEX(作業台帳!$H$5:$H$13,MATCH(A13,作業台帳!$A$5:$A$13,0)),"")</f>
        <v>2</v>
      </c>
      <c r="E13" s="11" t="s">
        <v>187</v>
      </c>
      <c r="F13" s="11" t="s">
        <v>189</v>
      </c>
    </row>
  </sheetData>
  <phoneticPr fontId="6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9577B"/>
  </sheetPr>
  <dimension ref="A1:J13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2" width="20" customWidth="1"/>
    <col min="3" max="3" width="25" customWidth="1"/>
    <col min="4" max="4" width="42" customWidth="1"/>
    <col min="5" max="5" width="38" customWidth="1"/>
    <col min="6" max="7" width="20" customWidth="1"/>
    <col min="8" max="9" width="17" customWidth="1"/>
    <col min="10" max="10" width="27" customWidth="1"/>
  </cols>
  <sheetData>
    <row r="1" spans="1:10" ht="33.950000000000003" customHeight="1">
      <c r="A1" s="2" t="s">
        <v>74</v>
      </c>
      <c r="B1" s="3"/>
      <c r="C1" s="3"/>
      <c r="D1" s="3"/>
      <c r="E1" s="3"/>
      <c r="F1" s="3"/>
      <c r="G1" s="3"/>
      <c r="H1" s="3"/>
      <c r="I1" s="3"/>
      <c r="J1" s="3"/>
    </row>
    <row r="2" spans="1:10" ht="26.1" customHeight="1">
      <c r="A2" s="4" t="s">
        <v>75</v>
      </c>
      <c r="B2" s="4"/>
      <c r="C2" s="4"/>
      <c r="D2" s="4"/>
      <c r="E2" s="4"/>
      <c r="F2" s="4"/>
      <c r="G2" s="4"/>
      <c r="H2" s="4"/>
      <c r="I2" s="4"/>
      <c r="J2" s="4"/>
    </row>
    <row r="3" spans="1:10" ht="26.1" customHeight="1">
      <c r="A3" s="4" t="s">
        <v>76</v>
      </c>
      <c r="B3" s="4"/>
      <c r="C3" s="4"/>
      <c r="D3" s="4"/>
      <c r="E3" s="4"/>
      <c r="F3" s="4"/>
      <c r="G3" s="4"/>
      <c r="H3" s="4"/>
      <c r="I3" s="4"/>
      <c r="J3" s="4"/>
    </row>
    <row r="4" spans="1:10" ht="39.950000000000003" customHeight="1">
      <c r="A4" s="5" t="s">
        <v>45</v>
      </c>
      <c r="B4" s="6" t="s">
        <v>46</v>
      </c>
      <c r="C4" s="6" t="s">
        <v>47</v>
      </c>
      <c r="D4" s="6" t="s">
        <v>48</v>
      </c>
      <c r="E4" s="6" t="s">
        <v>49</v>
      </c>
      <c r="F4" s="6" t="s">
        <v>72</v>
      </c>
      <c r="G4" s="6" t="s">
        <v>53</v>
      </c>
      <c r="H4" s="6" t="s">
        <v>54</v>
      </c>
      <c r="I4" s="6" t="s">
        <v>55</v>
      </c>
      <c r="J4" s="7" t="s">
        <v>56</v>
      </c>
    </row>
    <row r="5" spans="1:10" ht="26.1" customHeight="1">
      <c r="A5" s="18" t="s">
        <v>156</v>
      </c>
      <c r="B5" s="18" t="s">
        <v>120</v>
      </c>
      <c r="C5" s="18" t="s">
        <v>165</v>
      </c>
      <c r="D5" s="18" t="s">
        <v>166</v>
      </c>
      <c r="E5" s="18" t="s">
        <v>120</v>
      </c>
      <c r="F5" s="19">
        <f>IF(COUNT(INDEX(見積表!$D$5:$D$13,MATCH(A5,見積表!$A$5:$A$13,0)))=1,INDEX(見積表!$D$5:$D$13,MATCH(A5,見積表!$A$5:$A$13,0)),"")</f>
        <v>26</v>
      </c>
      <c r="G5" s="18" t="s">
        <v>120</v>
      </c>
      <c r="H5" s="20">
        <v>46272</v>
      </c>
      <c r="I5" s="20">
        <v>46283</v>
      </c>
      <c r="J5" s="18" t="s">
        <v>120</v>
      </c>
    </row>
    <row r="6" spans="1:10" ht="26.1" customHeight="1">
      <c r="A6" s="18" t="s">
        <v>157</v>
      </c>
      <c r="B6" s="18" t="s">
        <v>156</v>
      </c>
      <c r="C6" s="18" t="s">
        <v>165</v>
      </c>
      <c r="D6" s="18" t="s">
        <v>167</v>
      </c>
      <c r="E6" s="18" t="s">
        <v>178</v>
      </c>
      <c r="F6" s="19">
        <f>IF(COUNT(INDEX(見積表!$D$5:$D$13,MATCH(A6,見積表!$A$5:$A$13,0)))=1,INDEX(見積表!$D$5:$D$13,MATCH(A6,見積表!$A$5:$A$13,0)),"")</f>
        <v>2</v>
      </c>
      <c r="G6" s="18" t="s">
        <v>144</v>
      </c>
      <c r="H6" s="20">
        <v>46272</v>
      </c>
      <c r="I6" s="20">
        <v>46272</v>
      </c>
      <c r="J6" s="18" t="s">
        <v>120</v>
      </c>
    </row>
    <row r="7" spans="1:10" ht="26.1" customHeight="1">
      <c r="A7" s="10" t="s">
        <v>158</v>
      </c>
      <c r="B7" s="10" t="s">
        <v>156</v>
      </c>
      <c r="C7" s="10" t="s">
        <v>165</v>
      </c>
      <c r="D7" s="10" t="s">
        <v>168</v>
      </c>
      <c r="E7" s="10" t="s">
        <v>179</v>
      </c>
      <c r="F7" s="13">
        <f>IF(COUNT(INDEX(見積表!$D$5:$D$13,MATCH(A7,見積表!$A$5:$A$13,0)))=1,INDEX(見積表!$D$5:$D$13,MATCH(A7,見積表!$A$5:$A$13,0)),"")</f>
        <v>4</v>
      </c>
      <c r="G7" s="10" t="s">
        <v>144</v>
      </c>
      <c r="H7" s="15">
        <v>46273</v>
      </c>
      <c r="I7" s="15">
        <v>46273</v>
      </c>
      <c r="J7" s="10" t="s">
        <v>157</v>
      </c>
    </row>
    <row r="8" spans="1:10" ht="26.1" customHeight="1">
      <c r="A8" s="11" t="s">
        <v>159</v>
      </c>
      <c r="B8" s="11" t="s">
        <v>156</v>
      </c>
      <c r="C8" s="11" t="s">
        <v>165</v>
      </c>
      <c r="D8" s="11" t="s">
        <v>169</v>
      </c>
      <c r="E8" s="11" t="s">
        <v>180</v>
      </c>
      <c r="F8" s="17">
        <f>IF(COUNT(INDEX(見積表!$D$5:$D$13,MATCH(A8,見積表!$A$5:$A$13,0)))=1,INDEX(見積表!$D$5:$D$13,MATCH(A8,見積表!$A$5:$A$13,0)),"")</f>
        <v>2</v>
      </c>
      <c r="G8" s="11" t="s">
        <v>145</v>
      </c>
      <c r="H8" s="16">
        <v>46274</v>
      </c>
      <c r="I8" s="16">
        <v>46274</v>
      </c>
      <c r="J8" s="11" t="s">
        <v>158</v>
      </c>
    </row>
    <row r="9" spans="1:10" ht="26.1" customHeight="1">
      <c r="A9" s="11" t="s">
        <v>160</v>
      </c>
      <c r="B9" s="11" t="s">
        <v>156</v>
      </c>
      <c r="C9" s="11" t="s">
        <v>165</v>
      </c>
      <c r="D9" s="11" t="s">
        <v>170</v>
      </c>
      <c r="E9" s="11" t="s">
        <v>181</v>
      </c>
      <c r="F9" s="17">
        <f>IF(COUNT(INDEX(見積表!$D$5:$D$13,MATCH(A9,見積表!$A$5:$A$13,0)))=1,INDEX(見積表!$D$5:$D$13,MATCH(A9,見積表!$A$5:$A$13,0)),"")</f>
        <v>6</v>
      </c>
      <c r="G9" s="11" t="s">
        <v>144</v>
      </c>
      <c r="H9" s="16">
        <v>46275</v>
      </c>
      <c r="I9" s="16">
        <v>46275</v>
      </c>
      <c r="J9" s="11" t="s">
        <v>159</v>
      </c>
    </row>
    <row r="10" spans="1:10" ht="26.1" customHeight="1">
      <c r="A10" s="11" t="s">
        <v>161</v>
      </c>
      <c r="B10" s="11" t="s">
        <v>156</v>
      </c>
      <c r="C10" s="11" t="s">
        <v>165</v>
      </c>
      <c r="D10" s="11" t="s">
        <v>171</v>
      </c>
      <c r="E10" s="11" t="s">
        <v>182</v>
      </c>
      <c r="F10" s="17">
        <f>IF(COUNT(INDEX(見積表!$D$5:$D$13,MATCH(A10,見積表!$A$5:$A$13,0)))=1,INDEX(見積表!$D$5:$D$13,MATCH(A10,見積表!$A$5:$A$13,0)),"")</f>
        <v>2</v>
      </c>
      <c r="G10" s="11" t="s">
        <v>145</v>
      </c>
      <c r="H10" s="16">
        <v>46279</v>
      </c>
      <c r="I10" s="16">
        <v>46279</v>
      </c>
      <c r="J10" s="11" t="s">
        <v>160</v>
      </c>
    </row>
    <row r="11" spans="1:10" ht="26.1" customHeight="1">
      <c r="A11" s="11" t="s">
        <v>162</v>
      </c>
      <c r="B11" s="11" t="s">
        <v>156</v>
      </c>
      <c r="C11" s="11" t="s">
        <v>165</v>
      </c>
      <c r="D11" s="11" t="s">
        <v>172</v>
      </c>
      <c r="E11" s="11" t="s">
        <v>183</v>
      </c>
      <c r="F11" s="17">
        <f>IF(COUNT(INDEX(見積表!$D$5:$D$13,MATCH(A11,見積表!$A$5:$A$13,0)))=1,INDEX(見積表!$D$5:$D$13,MATCH(A11,見積表!$A$5:$A$13,0)),"")</f>
        <v>4</v>
      </c>
      <c r="G11" s="11" t="s">
        <v>145</v>
      </c>
      <c r="H11" s="16">
        <v>46280</v>
      </c>
      <c r="I11" s="16">
        <v>46280</v>
      </c>
      <c r="J11" s="11" t="s">
        <v>161</v>
      </c>
    </row>
    <row r="12" spans="1:10" ht="26.1" customHeight="1">
      <c r="A12" s="11" t="s">
        <v>163</v>
      </c>
      <c r="B12" s="11" t="s">
        <v>156</v>
      </c>
      <c r="C12" s="11" t="s">
        <v>165</v>
      </c>
      <c r="D12" s="11" t="s">
        <v>173</v>
      </c>
      <c r="E12" s="11" t="s">
        <v>184</v>
      </c>
      <c r="F12" s="17">
        <f>IF(COUNT(INDEX(見積表!$D$5:$D$13,MATCH(A12,見積表!$A$5:$A$13,0)))=1,INDEX(見積表!$D$5:$D$13,MATCH(A12,見積表!$A$5:$A$13,0)),"")</f>
        <v>4</v>
      </c>
      <c r="G12" s="11" t="s">
        <v>146</v>
      </c>
      <c r="H12" s="16">
        <v>46281</v>
      </c>
      <c r="I12" s="16">
        <v>46282</v>
      </c>
      <c r="J12" s="11" t="s">
        <v>162</v>
      </c>
    </row>
    <row r="13" spans="1:10" ht="26.1" customHeight="1">
      <c r="A13" s="11" t="s">
        <v>164</v>
      </c>
      <c r="B13" s="11" t="s">
        <v>156</v>
      </c>
      <c r="C13" s="11" t="s">
        <v>165</v>
      </c>
      <c r="D13" s="11" t="s">
        <v>174</v>
      </c>
      <c r="E13" s="11" t="s">
        <v>185</v>
      </c>
      <c r="F13" s="17">
        <f>IF(COUNT(INDEX(見積表!$D$5:$D$13,MATCH(A13,見積表!$A$5:$A$13,0)))=1,INDEX(見積表!$D$5:$D$13,MATCH(A13,見積表!$A$5:$A$13,0)),"")</f>
        <v>2</v>
      </c>
      <c r="G13" s="11" t="s">
        <v>146</v>
      </c>
      <c r="H13" s="16">
        <v>46283</v>
      </c>
      <c r="I13" s="16">
        <v>46283</v>
      </c>
      <c r="J13" s="11" t="s">
        <v>163</v>
      </c>
    </row>
  </sheetData>
  <phoneticPr fontId="6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39577B"/>
  </sheetPr>
  <dimension ref="A1:F13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2" width="20" customWidth="1"/>
    <col min="3" max="3" width="17" customWidth="1"/>
    <col min="4" max="6" width="20" customWidth="1"/>
  </cols>
  <sheetData>
    <row r="1" spans="1:6" ht="33.950000000000003" customHeight="1">
      <c r="A1" s="2" t="s">
        <v>77</v>
      </c>
      <c r="B1" s="3"/>
      <c r="C1" s="3"/>
      <c r="D1" s="3"/>
      <c r="E1" s="3"/>
      <c r="F1" s="3"/>
    </row>
    <row r="2" spans="1:6" ht="26.1" customHeight="1">
      <c r="A2" s="4" t="s">
        <v>78</v>
      </c>
      <c r="B2" s="4"/>
      <c r="C2" s="4"/>
      <c r="D2" s="4"/>
      <c r="E2" s="4"/>
      <c r="F2" s="4"/>
    </row>
    <row r="3" spans="1:6" ht="26.1" customHeight="1">
      <c r="A3" s="4" t="s">
        <v>79</v>
      </c>
      <c r="B3" s="4"/>
      <c r="C3" s="4"/>
      <c r="D3" s="4"/>
      <c r="E3" s="4"/>
      <c r="F3" s="4"/>
    </row>
    <row r="4" spans="1:6" ht="39.950000000000003" customHeight="1">
      <c r="A4" s="5" t="s">
        <v>45</v>
      </c>
      <c r="B4" s="6" t="s">
        <v>53</v>
      </c>
      <c r="C4" s="6" t="s">
        <v>40</v>
      </c>
      <c r="D4" s="6" t="s">
        <v>60</v>
      </c>
      <c r="E4" s="6" t="s">
        <v>80</v>
      </c>
      <c r="F4" s="7" t="s">
        <v>41</v>
      </c>
    </row>
    <row r="5" spans="1:6" ht="26.1" customHeight="1">
      <c r="A5" s="18" t="s">
        <v>157</v>
      </c>
      <c r="B5" s="18" t="s">
        <v>144</v>
      </c>
      <c r="C5" s="20">
        <v>46272</v>
      </c>
      <c r="D5" s="19">
        <v>2</v>
      </c>
      <c r="E5" s="19">
        <f>SUMIFS(D$5:D$13,B$5:B$13,B5,C$5:C$13,C5)</f>
        <v>2</v>
      </c>
      <c r="F5" s="19">
        <v>6</v>
      </c>
    </row>
    <row r="6" spans="1:6" ht="26.1" customHeight="1">
      <c r="A6" s="18" t="s">
        <v>158</v>
      </c>
      <c r="B6" s="18" t="s">
        <v>144</v>
      </c>
      <c r="C6" s="20">
        <v>46273</v>
      </c>
      <c r="D6" s="19">
        <v>4</v>
      </c>
      <c r="E6" s="19">
        <f>SUMIFS(D$5:D$13,B$5:B$13,B6,C$5:C$13,C6)</f>
        <v>4</v>
      </c>
      <c r="F6" s="19">
        <v>4</v>
      </c>
    </row>
    <row r="7" spans="1:6" ht="26.1" customHeight="1">
      <c r="A7" s="10" t="s">
        <v>159</v>
      </c>
      <c r="B7" s="10" t="s">
        <v>145</v>
      </c>
      <c r="C7" s="15">
        <v>46274</v>
      </c>
      <c r="D7" s="13">
        <v>2</v>
      </c>
      <c r="E7" s="13">
        <f>SUMIFS(D$5:D$13,B$5:B$13,B7,C$5:C$13,C7)</f>
        <v>2</v>
      </c>
      <c r="F7" s="13">
        <v>6</v>
      </c>
    </row>
    <row r="8" spans="1:6" ht="26.1" customHeight="1">
      <c r="A8" s="11" t="s">
        <v>160</v>
      </c>
      <c r="B8" s="11" t="s">
        <v>144</v>
      </c>
      <c r="C8" s="16">
        <v>46275</v>
      </c>
      <c r="D8" s="17">
        <v>6</v>
      </c>
      <c r="E8" s="17">
        <f>SUMIFS(D$5:D$13,B$5:B$13,B8,C$5:C$13,C8)</f>
        <v>6</v>
      </c>
      <c r="F8" s="17">
        <v>6</v>
      </c>
    </row>
    <row r="9" spans="1:6" ht="26.1" customHeight="1">
      <c r="A9" s="11" t="s">
        <v>161</v>
      </c>
      <c r="B9" s="11" t="s">
        <v>145</v>
      </c>
      <c r="C9" s="16">
        <v>46279</v>
      </c>
      <c r="D9" s="17">
        <v>2</v>
      </c>
      <c r="E9" s="17">
        <f>SUMIFS(D$5:D$13,B$5:B$13,B9,C$5:C$13,C9)</f>
        <v>2</v>
      </c>
      <c r="F9" s="17">
        <v>6</v>
      </c>
    </row>
    <row r="10" spans="1:6" ht="26.1" customHeight="1">
      <c r="A10" s="11" t="s">
        <v>162</v>
      </c>
      <c r="B10" s="11" t="s">
        <v>145</v>
      </c>
      <c r="C10" s="16">
        <v>46280</v>
      </c>
      <c r="D10" s="17">
        <v>4</v>
      </c>
      <c r="E10" s="17">
        <f>SUMIFS(D$5:D$13,B$5:B$13,B10,C$5:C$13,C10)</f>
        <v>4</v>
      </c>
      <c r="F10" s="17">
        <v>6</v>
      </c>
    </row>
    <row r="11" spans="1:6" ht="26.1" customHeight="1">
      <c r="A11" s="11" t="s">
        <v>163</v>
      </c>
      <c r="B11" s="11" t="s">
        <v>146</v>
      </c>
      <c r="C11" s="16">
        <v>46281</v>
      </c>
      <c r="D11" s="17">
        <v>2</v>
      </c>
      <c r="E11" s="17">
        <f>SUMIFS(D$5:D$13,B$5:B$13,B11,C$5:C$13,C11)</f>
        <v>2</v>
      </c>
      <c r="F11" s="17">
        <v>6</v>
      </c>
    </row>
    <row r="12" spans="1:6" ht="26.1" customHeight="1">
      <c r="A12" s="11" t="s">
        <v>163</v>
      </c>
      <c r="B12" s="11" t="s">
        <v>146</v>
      </c>
      <c r="C12" s="16">
        <v>46282</v>
      </c>
      <c r="D12" s="17">
        <v>2</v>
      </c>
      <c r="E12" s="17">
        <f>SUMIFS(D$5:D$13,B$5:B$13,B12,C$5:C$13,C12)</f>
        <v>2</v>
      </c>
      <c r="F12" s="17">
        <v>6</v>
      </c>
    </row>
    <row r="13" spans="1:6" ht="26.1" customHeight="1">
      <c r="A13" s="11" t="s">
        <v>164</v>
      </c>
      <c r="B13" s="11" t="s">
        <v>146</v>
      </c>
      <c r="C13" s="16">
        <v>46283</v>
      </c>
      <c r="D13" s="17">
        <v>2</v>
      </c>
      <c r="E13" s="17">
        <f>SUMIFS(D$5:D$13,B$5:B$13,B13,C$5:C$13,C13)</f>
        <v>2</v>
      </c>
      <c r="F13" s="17">
        <v>6</v>
      </c>
    </row>
  </sheetData>
  <phoneticPr fontId="6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39577B"/>
  </sheetPr>
  <dimension ref="A1:I13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2" width="20" customWidth="1"/>
    <col min="3" max="3" width="42" customWidth="1"/>
    <col min="4" max="4" width="52" customWidth="1"/>
    <col min="5" max="6" width="20" customWidth="1"/>
    <col min="7" max="8" width="17" customWidth="1"/>
    <col min="9" max="9" width="25" customWidth="1"/>
  </cols>
  <sheetData>
    <row r="1" spans="1:9" ht="33.950000000000003" customHeight="1">
      <c r="A1" s="2" t="s">
        <v>81</v>
      </c>
      <c r="B1" s="3"/>
      <c r="C1" s="3"/>
      <c r="D1" s="3"/>
      <c r="E1" s="3"/>
      <c r="F1" s="3"/>
      <c r="G1" s="3"/>
      <c r="H1" s="3"/>
      <c r="I1" s="3"/>
    </row>
    <row r="2" spans="1:9" ht="26.1" customHeight="1">
      <c r="A2" s="4" t="s">
        <v>82</v>
      </c>
      <c r="B2" s="4"/>
      <c r="C2" s="4"/>
      <c r="D2" s="4"/>
      <c r="E2" s="4"/>
      <c r="F2" s="4"/>
      <c r="G2" s="4"/>
      <c r="H2" s="4"/>
      <c r="I2" s="4"/>
    </row>
    <row r="3" spans="1:9" ht="26.1" customHeight="1">
      <c r="A3" s="4" t="s">
        <v>83</v>
      </c>
      <c r="B3" s="4"/>
      <c r="C3" s="4"/>
      <c r="D3" s="4"/>
      <c r="E3" s="4"/>
      <c r="F3" s="4"/>
      <c r="G3" s="4"/>
      <c r="H3" s="4"/>
      <c r="I3" s="4"/>
    </row>
    <row r="4" spans="1:9" ht="39.950000000000003" customHeight="1">
      <c r="A4" s="5" t="s">
        <v>84</v>
      </c>
      <c r="B4" s="6" t="s">
        <v>85</v>
      </c>
      <c r="C4" s="6" t="s">
        <v>86</v>
      </c>
      <c r="D4" s="6" t="s">
        <v>87</v>
      </c>
      <c r="E4" s="6" t="s">
        <v>88</v>
      </c>
      <c r="F4" s="6" t="s">
        <v>53</v>
      </c>
      <c r="G4" s="6" t="s">
        <v>54</v>
      </c>
      <c r="H4" s="6" t="s">
        <v>89</v>
      </c>
      <c r="I4" s="7" t="s">
        <v>47</v>
      </c>
    </row>
    <row r="5" spans="1:9" ht="71.25">
      <c r="A5" s="18" t="s">
        <v>156</v>
      </c>
      <c r="B5" s="18" t="s">
        <v>120</v>
      </c>
      <c r="C5" s="18" t="s">
        <v>166</v>
      </c>
      <c r="D5" s="18" t="s">
        <v>190</v>
      </c>
      <c r="E5" s="19" t="s">
        <v>120</v>
      </c>
      <c r="F5" s="18" t="s">
        <v>120</v>
      </c>
      <c r="G5" s="20">
        <v>46272</v>
      </c>
      <c r="H5" s="20">
        <v>46283</v>
      </c>
      <c r="I5" s="18" t="s">
        <v>165</v>
      </c>
    </row>
    <row r="6" spans="1:9" ht="71.25">
      <c r="A6" s="18" t="s">
        <v>157</v>
      </c>
      <c r="B6" s="18" t="s">
        <v>156</v>
      </c>
      <c r="C6" s="18" t="s">
        <v>167</v>
      </c>
      <c r="D6" s="18" t="s">
        <v>191</v>
      </c>
      <c r="E6" s="19">
        <v>2</v>
      </c>
      <c r="F6" s="18" t="s">
        <v>144</v>
      </c>
      <c r="G6" s="20">
        <v>46272</v>
      </c>
      <c r="H6" s="20">
        <v>46272</v>
      </c>
      <c r="I6" s="18" t="s">
        <v>165</v>
      </c>
    </row>
    <row r="7" spans="1:9" ht="71.25">
      <c r="A7" s="10" t="s">
        <v>158</v>
      </c>
      <c r="B7" s="10" t="s">
        <v>156</v>
      </c>
      <c r="C7" s="10" t="s">
        <v>168</v>
      </c>
      <c r="D7" s="10" t="s">
        <v>192</v>
      </c>
      <c r="E7" s="13">
        <v>4</v>
      </c>
      <c r="F7" s="10" t="s">
        <v>144</v>
      </c>
      <c r="G7" s="15">
        <v>46273</v>
      </c>
      <c r="H7" s="15">
        <v>46273</v>
      </c>
      <c r="I7" s="10" t="s">
        <v>165</v>
      </c>
    </row>
    <row r="8" spans="1:9" ht="71.25">
      <c r="A8" s="11" t="s">
        <v>159</v>
      </c>
      <c r="B8" s="11" t="s">
        <v>156</v>
      </c>
      <c r="C8" s="11" t="s">
        <v>169</v>
      </c>
      <c r="D8" s="11" t="s">
        <v>193</v>
      </c>
      <c r="E8" s="17">
        <v>2</v>
      </c>
      <c r="F8" s="11" t="s">
        <v>145</v>
      </c>
      <c r="G8" s="16">
        <v>46274</v>
      </c>
      <c r="H8" s="16">
        <v>46274</v>
      </c>
      <c r="I8" s="11" t="s">
        <v>165</v>
      </c>
    </row>
    <row r="9" spans="1:9" ht="71.25">
      <c r="A9" s="11" t="s">
        <v>160</v>
      </c>
      <c r="B9" s="11" t="s">
        <v>156</v>
      </c>
      <c r="C9" s="11" t="s">
        <v>170</v>
      </c>
      <c r="D9" s="11" t="s">
        <v>194</v>
      </c>
      <c r="E9" s="17">
        <v>6</v>
      </c>
      <c r="F9" s="11" t="s">
        <v>144</v>
      </c>
      <c r="G9" s="16">
        <v>46275</v>
      </c>
      <c r="H9" s="16">
        <v>46275</v>
      </c>
      <c r="I9" s="11" t="s">
        <v>165</v>
      </c>
    </row>
    <row r="10" spans="1:9" ht="71.25">
      <c r="A10" s="11" t="s">
        <v>161</v>
      </c>
      <c r="B10" s="11" t="s">
        <v>156</v>
      </c>
      <c r="C10" s="11" t="s">
        <v>171</v>
      </c>
      <c r="D10" s="11" t="s">
        <v>195</v>
      </c>
      <c r="E10" s="17">
        <v>2</v>
      </c>
      <c r="F10" s="11" t="s">
        <v>145</v>
      </c>
      <c r="G10" s="16">
        <v>46279</v>
      </c>
      <c r="H10" s="16">
        <v>46279</v>
      </c>
      <c r="I10" s="11" t="s">
        <v>165</v>
      </c>
    </row>
    <row r="11" spans="1:9" ht="71.25">
      <c r="A11" s="11" t="s">
        <v>162</v>
      </c>
      <c r="B11" s="11" t="s">
        <v>156</v>
      </c>
      <c r="C11" s="11" t="s">
        <v>172</v>
      </c>
      <c r="D11" s="11" t="s">
        <v>196</v>
      </c>
      <c r="E11" s="17">
        <v>4</v>
      </c>
      <c r="F11" s="11" t="s">
        <v>145</v>
      </c>
      <c r="G11" s="16">
        <v>46280</v>
      </c>
      <c r="H11" s="16">
        <v>46280</v>
      </c>
      <c r="I11" s="11" t="s">
        <v>165</v>
      </c>
    </row>
    <row r="12" spans="1:9" ht="71.25">
      <c r="A12" s="11" t="s">
        <v>163</v>
      </c>
      <c r="B12" s="11" t="s">
        <v>156</v>
      </c>
      <c r="C12" s="11" t="s">
        <v>173</v>
      </c>
      <c r="D12" s="11" t="s">
        <v>197</v>
      </c>
      <c r="E12" s="17">
        <v>4</v>
      </c>
      <c r="F12" s="11" t="s">
        <v>146</v>
      </c>
      <c r="G12" s="16">
        <v>46281</v>
      </c>
      <c r="H12" s="16">
        <v>46282</v>
      </c>
      <c r="I12" s="11" t="s">
        <v>165</v>
      </c>
    </row>
    <row r="13" spans="1:9" ht="71.25">
      <c r="A13" s="11" t="s">
        <v>164</v>
      </c>
      <c r="B13" s="11" t="s">
        <v>156</v>
      </c>
      <c r="C13" s="11" t="s">
        <v>174</v>
      </c>
      <c r="D13" s="11" t="s">
        <v>198</v>
      </c>
      <c r="E13" s="17">
        <v>2</v>
      </c>
      <c r="F13" s="11" t="s">
        <v>146</v>
      </c>
      <c r="G13" s="16">
        <v>46283</v>
      </c>
      <c r="H13" s="16">
        <v>46283</v>
      </c>
      <c r="I13" s="11" t="s">
        <v>165</v>
      </c>
    </row>
  </sheetData>
  <phoneticPr fontId="6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39577B"/>
  </sheetPr>
  <dimension ref="A1:E7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1" width="20" customWidth="1"/>
    <col min="2" max="2" width="32" customWidth="1"/>
    <col min="3" max="4" width="20" customWidth="1"/>
    <col min="5" max="5" width="64" customWidth="1"/>
  </cols>
  <sheetData>
    <row r="1" spans="1:5" ht="33.950000000000003" customHeight="1">
      <c r="A1" s="2" t="s">
        <v>90</v>
      </c>
      <c r="B1" s="3"/>
      <c r="C1" s="3"/>
      <c r="D1" s="3"/>
      <c r="E1" s="3"/>
    </row>
    <row r="2" spans="1:5" ht="26.1" customHeight="1">
      <c r="A2" s="4" t="s">
        <v>91</v>
      </c>
      <c r="B2" s="4"/>
      <c r="C2" s="4"/>
      <c r="D2" s="4"/>
      <c r="E2" s="4"/>
    </row>
    <row r="3" spans="1:5" ht="26.1" customHeight="1">
      <c r="A3" s="4" t="s">
        <v>92</v>
      </c>
      <c r="B3" s="4"/>
      <c r="C3" s="4"/>
      <c r="D3" s="4"/>
      <c r="E3" s="4"/>
    </row>
    <row r="4" spans="1:5" ht="39.950000000000003" customHeight="1">
      <c r="A4" s="5" t="s">
        <v>93</v>
      </c>
      <c r="B4" s="6" t="s">
        <v>94</v>
      </c>
      <c r="C4" s="6" t="s">
        <v>95</v>
      </c>
      <c r="D4" s="6" t="s">
        <v>3</v>
      </c>
      <c r="E4" s="7" t="s">
        <v>5</v>
      </c>
    </row>
    <row r="5" spans="1:5" ht="26.1" customHeight="1">
      <c r="A5" s="18" t="s">
        <v>199</v>
      </c>
      <c r="B5" s="18" t="s">
        <v>200</v>
      </c>
      <c r="C5" s="18" t="s">
        <v>123</v>
      </c>
      <c r="D5" s="18" t="s">
        <v>201</v>
      </c>
      <c r="E5" s="18" t="s">
        <v>202</v>
      </c>
    </row>
    <row r="6" spans="1:5" ht="26.1" customHeight="1">
      <c r="A6" s="18" t="s">
        <v>199</v>
      </c>
      <c r="B6" s="18" t="s">
        <v>200</v>
      </c>
      <c r="C6" s="18" t="s">
        <v>124</v>
      </c>
      <c r="D6" s="18" t="s">
        <v>201</v>
      </c>
      <c r="E6" s="18" t="s">
        <v>202</v>
      </c>
    </row>
    <row r="7" spans="1:5" ht="26.1" customHeight="1">
      <c r="A7" s="10" t="s">
        <v>199</v>
      </c>
      <c r="B7" s="10" t="s">
        <v>200</v>
      </c>
      <c r="C7" s="10" t="s">
        <v>125</v>
      </c>
      <c r="D7" s="10" t="s">
        <v>201</v>
      </c>
      <c r="E7" s="10" t="s">
        <v>202</v>
      </c>
    </row>
  </sheetData>
  <phoneticPr fontId="6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案件条件</vt:lpstr>
      <vt:lpstr>入力資料</vt:lpstr>
      <vt:lpstr>見積基準</vt:lpstr>
      <vt:lpstr>要求台帳</vt:lpstr>
      <vt:lpstr>要員</vt:lpstr>
      <vt:lpstr>日別稼働</vt:lpstr>
      <vt:lpstr>作業台帳</vt:lpstr>
      <vt:lpstr>日別配分</vt:lpstr>
      <vt:lpstr>確認事項</vt:lpstr>
      <vt:lpstr>見積表</vt:lpstr>
      <vt:lpstr>WBS</vt:lpstr>
      <vt:lpstr>要員スケジュール</vt:lpstr>
      <vt:lpstr>Redmine転記</vt:lpstr>
      <vt:lpstr>点検結果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kitamurajoutaro</cp:lastModifiedBy>
  <dcterms:created xsi:type="dcterms:W3CDTF">2026-09-08T10:37:03Z</dcterms:created>
  <dcterms:modified xsi:type="dcterms:W3CDTF">2026-09-08T10:37:03Z</dcterms:modified>
</cp:coreProperties>
</file>